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eme\Documents\GitHub\tag-relation-learning\Knowledge Base Enrichment based evaluation\"/>
    </mc:Choice>
  </mc:AlternateContent>
  <xr:revisionPtr revIDLastSave="0" documentId="13_ncr:1_{1A629699-E72F-4C33-9D3A-74EE783A9628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all results" sheetId="1" r:id="rId1"/>
    <sheet name="accuracy" sheetId="2" r:id="rId2"/>
    <sheet name="dbpedia-ada-ct0.6" sheetId="3" r:id="rId3"/>
    <sheet name="dbpedia-svm-ct6" sheetId="4" r:id="rId4"/>
    <sheet name="acm-ada-ct0.6" sheetId="5" r:id="rId5"/>
    <sheet name="acm-svm-ct6" sheetId="6" r:id="rId6"/>
  </sheets>
  <definedNames>
    <definedName name="_xlnm._FilterDatabase" localSheetId="1" hidden="1">accuracy!$A$8:$I$13</definedName>
    <definedName name="_xlnm._FilterDatabase" localSheetId="4" hidden="1">'acm-ada-ct0.6'!$A$1:$M$81</definedName>
    <definedName name="_xlnm._FilterDatabase" localSheetId="5" hidden="1">'acm-svm-ct6'!$A$1:$M$46</definedName>
    <definedName name="_xlnm._FilterDatabase" localSheetId="0" hidden="1">'all results'!$A$2:$AD$302</definedName>
    <definedName name="_xlnm._FilterDatabase" localSheetId="2" hidden="1">'dbpedia-ada-ct0.6'!$V$1:$AC$93</definedName>
    <definedName name="_xlnm._FilterDatabase" localSheetId="3" hidden="1">'dbpedia-svm-ct6'!$A$1:$M$105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46" i="6" l="1"/>
  <c r="AG46" i="6"/>
  <c r="AF46" i="6"/>
  <c r="AE46" i="6"/>
  <c r="AD46" i="6"/>
  <c r="AC46" i="6"/>
  <c r="AB46" i="6"/>
  <c r="AA46" i="6"/>
  <c r="Z46" i="6"/>
  <c r="Y46" i="6"/>
  <c r="X46" i="6"/>
  <c r="W46" i="6"/>
  <c r="V46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AH2" i="6"/>
  <c r="AH47" i="6" s="1"/>
  <c r="AH48" i="6" s="1"/>
  <c r="AG2" i="6"/>
  <c r="AG47" i="6" s="1"/>
  <c r="AG48" i="6" s="1"/>
  <c r="AF2" i="6"/>
  <c r="AF47" i="6" s="1"/>
  <c r="AF48" i="6" s="1"/>
  <c r="AE2" i="6"/>
  <c r="AE47" i="6" s="1"/>
  <c r="AE48" i="6" s="1"/>
  <c r="AD2" i="6"/>
  <c r="AD47" i="6" s="1"/>
  <c r="AD48" i="6" s="1"/>
  <c r="AC2" i="6"/>
  <c r="AC47" i="6" s="1"/>
  <c r="AC48" i="6" s="1"/>
  <c r="AB2" i="6"/>
  <c r="AB47" i="6" s="1"/>
  <c r="AB48" i="6" s="1"/>
  <c r="AA2" i="6"/>
  <c r="AA47" i="6" s="1"/>
  <c r="AA48" i="6" s="1"/>
  <c r="Z2" i="6"/>
  <c r="Z47" i="6" s="1"/>
  <c r="Z48" i="6" s="1"/>
  <c r="Y2" i="6"/>
  <c r="Y47" i="6" s="1"/>
  <c r="Y48" i="6" s="1"/>
  <c r="X2" i="6"/>
  <c r="X47" i="6" s="1"/>
  <c r="X48" i="6" s="1"/>
  <c r="W2" i="6"/>
  <c r="W47" i="6" s="1"/>
  <c r="W48" i="6" s="1"/>
  <c r="V2" i="6"/>
  <c r="V47" i="6" s="1"/>
  <c r="V48" i="6" s="1"/>
  <c r="AH81" i="5"/>
  <c r="AG81" i="5"/>
  <c r="AF81" i="5"/>
  <c r="AE81" i="5"/>
  <c r="AD81" i="5"/>
  <c r="AC81" i="5"/>
  <c r="AB81" i="5"/>
  <c r="AA81" i="5"/>
  <c r="Z81" i="5"/>
  <c r="Y81" i="5"/>
  <c r="X81" i="5"/>
  <c r="W81" i="5"/>
  <c r="V81" i="5"/>
  <c r="AH80" i="5"/>
  <c r="AG80" i="5"/>
  <c r="AF80" i="5"/>
  <c r="AE80" i="5"/>
  <c r="AD80" i="5"/>
  <c r="AC80" i="5"/>
  <c r="AB80" i="5"/>
  <c r="AA80" i="5"/>
  <c r="Z80" i="5"/>
  <c r="Y80" i="5"/>
  <c r="X80" i="5"/>
  <c r="W80" i="5"/>
  <c r="V80" i="5"/>
  <c r="AH79" i="5"/>
  <c r="AG79" i="5"/>
  <c r="AF79" i="5"/>
  <c r="AE79" i="5"/>
  <c r="AD79" i="5"/>
  <c r="AC79" i="5"/>
  <c r="AB79" i="5"/>
  <c r="AA79" i="5"/>
  <c r="Z79" i="5"/>
  <c r="Y79" i="5"/>
  <c r="X79" i="5"/>
  <c r="W79" i="5"/>
  <c r="V79" i="5"/>
  <c r="AH78" i="5"/>
  <c r="AG78" i="5"/>
  <c r="AF78" i="5"/>
  <c r="AE78" i="5"/>
  <c r="AD78" i="5"/>
  <c r="AC78" i="5"/>
  <c r="AB78" i="5"/>
  <c r="AA78" i="5"/>
  <c r="Z78" i="5"/>
  <c r="Y78" i="5"/>
  <c r="X78" i="5"/>
  <c r="W78" i="5"/>
  <c r="V78" i="5"/>
  <c r="AH77" i="5"/>
  <c r="AG77" i="5"/>
  <c r="AF77" i="5"/>
  <c r="AE77" i="5"/>
  <c r="AD77" i="5"/>
  <c r="AC77" i="5"/>
  <c r="AB77" i="5"/>
  <c r="AA77" i="5"/>
  <c r="Z77" i="5"/>
  <c r="Y77" i="5"/>
  <c r="X77" i="5"/>
  <c r="W77" i="5"/>
  <c r="V77" i="5"/>
  <c r="AH76" i="5"/>
  <c r="AG76" i="5"/>
  <c r="AF76" i="5"/>
  <c r="AE76" i="5"/>
  <c r="AD76" i="5"/>
  <c r="AC76" i="5"/>
  <c r="AB76" i="5"/>
  <c r="AA76" i="5"/>
  <c r="Z76" i="5"/>
  <c r="Y76" i="5"/>
  <c r="X76" i="5"/>
  <c r="W76" i="5"/>
  <c r="V76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AH74" i="5"/>
  <c r="AG74" i="5"/>
  <c r="AF74" i="5"/>
  <c r="AE74" i="5"/>
  <c r="AD74" i="5"/>
  <c r="AC74" i="5"/>
  <c r="AB74" i="5"/>
  <c r="AA74" i="5"/>
  <c r="Z74" i="5"/>
  <c r="Y74" i="5"/>
  <c r="X74" i="5"/>
  <c r="W74" i="5"/>
  <c r="V74" i="5"/>
  <c r="AH73" i="5"/>
  <c r="AG73" i="5"/>
  <c r="AF73" i="5"/>
  <c r="AE73" i="5"/>
  <c r="AD73" i="5"/>
  <c r="AC73" i="5"/>
  <c r="AB73" i="5"/>
  <c r="AA73" i="5"/>
  <c r="Z73" i="5"/>
  <c r="Y73" i="5"/>
  <c r="X73" i="5"/>
  <c r="W73" i="5"/>
  <c r="V73" i="5"/>
  <c r="AH72" i="5"/>
  <c r="AG72" i="5"/>
  <c r="AF72" i="5"/>
  <c r="AE72" i="5"/>
  <c r="AD72" i="5"/>
  <c r="AC72" i="5"/>
  <c r="AB72" i="5"/>
  <c r="AA72" i="5"/>
  <c r="Z72" i="5"/>
  <c r="Y72" i="5"/>
  <c r="X72" i="5"/>
  <c r="W72" i="5"/>
  <c r="V72" i="5"/>
  <c r="AH71" i="5"/>
  <c r="AG71" i="5"/>
  <c r="AF71" i="5"/>
  <c r="AE71" i="5"/>
  <c r="AD71" i="5"/>
  <c r="AC71" i="5"/>
  <c r="AB71" i="5"/>
  <c r="AA71" i="5"/>
  <c r="Z71" i="5"/>
  <c r="Y71" i="5"/>
  <c r="X71" i="5"/>
  <c r="W71" i="5"/>
  <c r="V71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AH69" i="5"/>
  <c r="AG69" i="5"/>
  <c r="AF69" i="5"/>
  <c r="AE69" i="5"/>
  <c r="AD69" i="5"/>
  <c r="AC69" i="5"/>
  <c r="AB69" i="5"/>
  <c r="AA69" i="5"/>
  <c r="Z69" i="5"/>
  <c r="Y69" i="5"/>
  <c r="X69" i="5"/>
  <c r="W69" i="5"/>
  <c r="V69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AH67" i="5"/>
  <c r="AG67" i="5"/>
  <c r="AF67" i="5"/>
  <c r="AE67" i="5"/>
  <c r="AD67" i="5"/>
  <c r="AC67" i="5"/>
  <c r="AB67" i="5"/>
  <c r="AA67" i="5"/>
  <c r="Z67" i="5"/>
  <c r="Y67" i="5"/>
  <c r="X67" i="5"/>
  <c r="W67" i="5"/>
  <c r="V67" i="5"/>
  <c r="AH66" i="5"/>
  <c r="AG66" i="5"/>
  <c r="AF66" i="5"/>
  <c r="AE66" i="5"/>
  <c r="AD66" i="5"/>
  <c r="AC66" i="5"/>
  <c r="AB66" i="5"/>
  <c r="AA66" i="5"/>
  <c r="Z66" i="5"/>
  <c r="Y66" i="5"/>
  <c r="X66" i="5"/>
  <c r="W66" i="5"/>
  <c r="V66" i="5"/>
  <c r="AH65" i="5"/>
  <c r="AG65" i="5"/>
  <c r="AF65" i="5"/>
  <c r="AE65" i="5"/>
  <c r="AD65" i="5"/>
  <c r="AC65" i="5"/>
  <c r="AB65" i="5"/>
  <c r="AA65" i="5"/>
  <c r="Z65" i="5"/>
  <c r="Y65" i="5"/>
  <c r="X65" i="5"/>
  <c r="W65" i="5"/>
  <c r="V65" i="5"/>
  <c r="AH64" i="5"/>
  <c r="AG64" i="5"/>
  <c r="AF64" i="5"/>
  <c r="AE64" i="5"/>
  <c r="AD64" i="5"/>
  <c r="AC64" i="5"/>
  <c r="AB64" i="5"/>
  <c r="AA64" i="5"/>
  <c r="Z64" i="5"/>
  <c r="Y64" i="5"/>
  <c r="X64" i="5"/>
  <c r="W64" i="5"/>
  <c r="V64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AH62" i="5"/>
  <c r="AG62" i="5"/>
  <c r="AF62" i="5"/>
  <c r="AE62" i="5"/>
  <c r="AD62" i="5"/>
  <c r="AC62" i="5"/>
  <c r="AB62" i="5"/>
  <c r="AA62" i="5"/>
  <c r="Z62" i="5"/>
  <c r="Y62" i="5"/>
  <c r="X62" i="5"/>
  <c r="W62" i="5"/>
  <c r="V62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AH60" i="5"/>
  <c r="AG60" i="5"/>
  <c r="AF60" i="5"/>
  <c r="AE60" i="5"/>
  <c r="AD60" i="5"/>
  <c r="AC60" i="5"/>
  <c r="AB60" i="5"/>
  <c r="AA60" i="5"/>
  <c r="Z60" i="5"/>
  <c r="Y60" i="5"/>
  <c r="X60" i="5"/>
  <c r="W60" i="5"/>
  <c r="V60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AH58" i="5"/>
  <c r="AG58" i="5"/>
  <c r="AF58" i="5"/>
  <c r="AE58" i="5"/>
  <c r="AD58" i="5"/>
  <c r="AC58" i="5"/>
  <c r="AB58" i="5"/>
  <c r="AA58" i="5"/>
  <c r="Z58" i="5"/>
  <c r="Y58" i="5"/>
  <c r="X58" i="5"/>
  <c r="W58" i="5"/>
  <c r="V58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AH56" i="5"/>
  <c r="AG56" i="5"/>
  <c r="AF56" i="5"/>
  <c r="AE56" i="5"/>
  <c r="AD56" i="5"/>
  <c r="AC56" i="5"/>
  <c r="AB56" i="5"/>
  <c r="AA56" i="5"/>
  <c r="Z56" i="5"/>
  <c r="Y56" i="5"/>
  <c r="X56" i="5"/>
  <c r="W56" i="5"/>
  <c r="V56" i="5"/>
  <c r="AH55" i="5"/>
  <c r="AG55" i="5"/>
  <c r="AF55" i="5"/>
  <c r="AE55" i="5"/>
  <c r="AD55" i="5"/>
  <c r="AC55" i="5"/>
  <c r="AB55" i="5"/>
  <c r="AA55" i="5"/>
  <c r="Z55" i="5"/>
  <c r="Y55" i="5"/>
  <c r="X55" i="5"/>
  <c r="W55" i="5"/>
  <c r="V55" i="5"/>
  <c r="AH54" i="5"/>
  <c r="AG54" i="5"/>
  <c r="AF54" i="5"/>
  <c r="AE54" i="5"/>
  <c r="AD54" i="5"/>
  <c r="AC54" i="5"/>
  <c r="AB54" i="5"/>
  <c r="AA54" i="5"/>
  <c r="Z54" i="5"/>
  <c r="Y54" i="5"/>
  <c r="X54" i="5"/>
  <c r="W54" i="5"/>
  <c r="V54" i="5"/>
  <c r="AH53" i="5"/>
  <c r="AG53" i="5"/>
  <c r="AF53" i="5"/>
  <c r="AE53" i="5"/>
  <c r="AD53" i="5"/>
  <c r="AC53" i="5"/>
  <c r="AB53" i="5"/>
  <c r="AA53" i="5"/>
  <c r="Z53" i="5"/>
  <c r="Y53" i="5"/>
  <c r="X53" i="5"/>
  <c r="W53" i="5"/>
  <c r="V53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AH51" i="5"/>
  <c r="AG51" i="5"/>
  <c r="AF51" i="5"/>
  <c r="AE51" i="5"/>
  <c r="AD51" i="5"/>
  <c r="AC51" i="5"/>
  <c r="AB51" i="5"/>
  <c r="AA51" i="5"/>
  <c r="Z51" i="5"/>
  <c r="Y51" i="5"/>
  <c r="X51" i="5"/>
  <c r="W51" i="5"/>
  <c r="V51" i="5"/>
  <c r="AH50" i="5"/>
  <c r="AG50" i="5"/>
  <c r="AF50" i="5"/>
  <c r="AE50" i="5"/>
  <c r="AD50" i="5"/>
  <c r="AC50" i="5"/>
  <c r="AB50" i="5"/>
  <c r="AA50" i="5"/>
  <c r="Z50" i="5"/>
  <c r="Y50" i="5"/>
  <c r="X50" i="5"/>
  <c r="W50" i="5"/>
  <c r="V50" i="5"/>
  <c r="AH49" i="5"/>
  <c r="AG49" i="5"/>
  <c r="AF49" i="5"/>
  <c r="AE49" i="5"/>
  <c r="AD49" i="5"/>
  <c r="AC49" i="5"/>
  <c r="AB49" i="5"/>
  <c r="AA49" i="5"/>
  <c r="Z49" i="5"/>
  <c r="Y49" i="5"/>
  <c r="X49" i="5"/>
  <c r="W49" i="5"/>
  <c r="V49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AH46" i="5"/>
  <c r="AG46" i="5"/>
  <c r="AF46" i="5"/>
  <c r="AE46" i="5"/>
  <c r="AD46" i="5"/>
  <c r="AC46" i="5"/>
  <c r="AB46" i="5"/>
  <c r="AA46" i="5"/>
  <c r="Z46" i="5"/>
  <c r="Y46" i="5"/>
  <c r="X46" i="5"/>
  <c r="W46" i="5"/>
  <c r="V46" i="5"/>
  <c r="AH45" i="5"/>
  <c r="AG45" i="5"/>
  <c r="AF45" i="5"/>
  <c r="AE45" i="5"/>
  <c r="AD45" i="5"/>
  <c r="AC45" i="5"/>
  <c r="AB45" i="5"/>
  <c r="AA45" i="5"/>
  <c r="Z45" i="5"/>
  <c r="Y45" i="5"/>
  <c r="X45" i="5"/>
  <c r="W45" i="5"/>
  <c r="V45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AH43" i="5"/>
  <c r="AG43" i="5"/>
  <c r="AF43" i="5"/>
  <c r="AE43" i="5"/>
  <c r="AD43" i="5"/>
  <c r="AC43" i="5"/>
  <c r="AB43" i="5"/>
  <c r="AA43" i="5"/>
  <c r="Z43" i="5"/>
  <c r="Y43" i="5"/>
  <c r="X43" i="5"/>
  <c r="W43" i="5"/>
  <c r="V43" i="5"/>
  <c r="AH42" i="5"/>
  <c r="AG42" i="5"/>
  <c r="AF42" i="5"/>
  <c r="AE42" i="5"/>
  <c r="AD42" i="5"/>
  <c r="AC42" i="5"/>
  <c r="AB42" i="5"/>
  <c r="AA42" i="5"/>
  <c r="Z42" i="5"/>
  <c r="Y42" i="5"/>
  <c r="X42" i="5"/>
  <c r="W42" i="5"/>
  <c r="V42" i="5"/>
  <c r="AH41" i="5"/>
  <c r="AG41" i="5"/>
  <c r="AF41" i="5"/>
  <c r="AE41" i="5"/>
  <c r="AD41" i="5"/>
  <c r="AC41" i="5"/>
  <c r="AB41" i="5"/>
  <c r="AA41" i="5"/>
  <c r="Z41" i="5"/>
  <c r="Y41" i="5"/>
  <c r="X41" i="5"/>
  <c r="W41" i="5"/>
  <c r="V41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AH39" i="5"/>
  <c r="AG39" i="5"/>
  <c r="AF39" i="5"/>
  <c r="AE39" i="5"/>
  <c r="AD39" i="5"/>
  <c r="AC39" i="5"/>
  <c r="AB39" i="5"/>
  <c r="AA39" i="5"/>
  <c r="Z39" i="5"/>
  <c r="Y39" i="5"/>
  <c r="X39" i="5"/>
  <c r="W39" i="5"/>
  <c r="V39" i="5"/>
  <c r="AH38" i="5"/>
  <c r="AG38" i="5"/>
  <c r="AF38" i="5"/>
  <c r="AE38" i="5"/>
  <c r="AD38" i="5"/>
  <c r="AC38" i="5"/>
  <c r="AB38" i="5"/>
  <c r="AA38" i="5"/>
  <c r="Z38" i="5"/>
  <c r="Y38" i="5"/>
  <c r="X38" i="5"/>
  <c r="W38" i="5"/>
  <c r="V38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AH2" i="5"/>
  <c r="AH82" i="5" s="1"/>
  <c r="AH83" i="5" s="1"/>
  <c r="AG2" i="5"/>
  <c r="AG82" i="5" s="1"/>
  <c r="AG83" i="5" s="1"/>
  <c r="AF2" i="5"/>
  <c r="AF82" i="5" s="1"/>
  <c r="AF83" i="5" s="1"/>
  <c r="AE2" i="5"/>
  <c r="AE82" i="5" s="1"/>
  <c r="AE83" i="5" s="1"/>
  <c r="AD2" i="5"/>
  <c r="AD82" i="5" s="1"/>
  <c r="AD83" i="5" s="1"/>
  <c r="AC2" i="5"/>
  <c r="AC82" i="5" s="1"/>
  <c r="AC83" i="5" s="1"/>
  <c r="AB2" i="5"/>
  <c r="AB82" i="5" s="1"/>
  <c r="AB83" i="5" s="1"/>
  <c r="AA2" i="5"/>
  <c r="AA82" i="5" s="1"/>
  <c r="AA83" i="5" s="1"/>
  <c r="Z2" i="5"/>
  <c r="Z82" i="5" s="1"/>
  <c r="Z83" i="5" s="1"/>
  <c r="Y2" i="5"/>
  <c r="Y82" i="5" s="1"/>
  <c r="Y83" i="5" s="1"/>
  <c r="X2" i="5"/>
  <c r="X82" i="5" s="1"/>
  <c r="X83" i="5" s="1"/>
  <c r="W2" i="5"/>
  <c r="W82" i="5" s="1"/>
  <c r="W83" i="5" s="1"/>
  <c r="V2" i="5"/>
  <c r="V82" i="5" s="1"/>
  <c r="V83" i="5" s="1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AH18" i="4"/>
  <c r="AG18" i="4"/>
  <c r="AF18" i="4"/>
  <c r="AE18" i="4"/>
  <c r="AD18" i="4"/>
  <c r="AD106" i="4" s="1"/>
  <c r="AD107" i="4" s="1"/>
  <c r="AC18" i="4"/>
  <c r="AB18" i="4"/>
  <c r="AA18" i="4"/>
  <c r="Z18" i="4"/>
  <c r="Y18" i="4"/>
  <c r="X18" i="4"/>
  <c r="W18" i="4"/>
  <c r="V18" i="4"/>
  <c r="V106" i="4" s="1"/>
  <c r="V107" i="4" s="1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AH16" i="4"/>
  <c r="AH106" i="4" s="1"/>
  <c r="AH107" i="4" s="1"/>
  <c r="AG16" i="4"/>
  <c r="AG106" i="4" s="1"/>
  <c r="AG107" i="4" s="1"/>
  <c r="AF16" i="4"/>
  <c r="AF106" i="4" s="1"/>
  <c r="AF107" i="4" s="1"/>
  <c r="AE16" i="4"/>
  <c r="AE106" i="4" s="1"/>
  <c r="AE107" i="4" s="1"/>
  <c r="AD16" i="4"/>
  <c r="AC16" i="4"/>
  <c r="AC106" i="4" s="1"/>
  <c r="AC107" i="4" s="1"/>
  <c r="AB16" i="4"/>
  <c r="AB106" i="4" s="1"/>
  <c r="AB107" i="4" s="1"/>
  <c r="AA16" i="4"/>
  <c r="AA106" i="4" s="1"/>
  <c r="AA107" i="4" s="1"/>
  <c r="Z16" i="4"/>
  <c r="Z106" i="4" s="1"/>
  <c r="Z107" i="4" s="1"/>
  <c r="Y16" i="4"/>
  <c r="Y106" i="4" s="1"/>
  <c r="Y107" i="4" s="1"/>
  <c r="X16" i="4"/>
  <c r="X106" i="4" s="1"/>
  <c r="X107" i="4" s="1"/>
  <c r="W16" i="4"/>
  <c r="W106" i="4" s="1"/>
  <c r="W107" i="4" s="1"/>
  <c r="V16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AH90" i="3"/>
  <c r="AG90" i="3"/>
  <c r="AF90" i="3"/>
  <c r="AE90" i="3"/>
  <c r="AD90" i="3"/>
  <c r="AC90" i="3"/>
  <c r="AB90" i="3"/>
  <c r="AA90" i="3"/>
  <c r="Z90" i="3"/>
  <c r="Y90" i="3"/>
  <c r="X90" i="3"/>
  <c r="W90" i="3"/>
  <c r="V90" i="3"/>
  <c r="AH89" i="3"/>
  <c r="AG89" i="3"/>
  <c r="AF89" i="3"/>
  <c r="AE89" i="3"/>
  <c r="AD89" i="3"/>
  <c r="AC89" i="3"/>
  <c r="AB89" i="3"/>
  <c r="AA89" i="3"/>
  <c r="Z89" i="3"/>
  <c r="Y89" i="3"/>
  <c r="X89" i="3"/>
  <c r="W89" i="3"/>
  <c r="V89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AH87" i="3"/>
  <c r="AG87" i="3"/>
  <c r="AF87" i="3"/>
  <c r="AE87" i="3"/>
  <c r="AD87" i="3"/>
  <c r="AC87" i="3"/>
  <c r="AB87" i="3"/>
  <c r="AA87" i="3"/>
  <c r="Z87" i="3"/>
  <c r="Y87" i="3"/>
  <c r="X87" i="3"/>
  <c r="W87" i="3"/>
  <c r="V87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AH85" i="3"/>
  <c r="AG85" i="3"/>
  <c r="AF85" i="3"/>
  <c r="AE85" i="3"/>
  <c r="AD85" i="3"/>
  <c r="AC85" i="3"/>
  <c r="AB85" i="3"/>
  <c r="AA85" i="3"/>
  <c r="Z85" i="3"/>
  <c r="Y85" i="3"/>
  <c r="X85" i="3"/>
  <c r="W85" i="3"/>
  <c r="V85" i="3"/>
  <c r="AH84" i="3"/>
  <c r="AG84" i="3"/>
  <c r="AF84" i="3"/>
  <c r="AE84" i="3"/>
  <c r="AD84" i="3"/>
  <c r="AC84" i="3"/>
  <c r="AB84" i="3"/>
  <c r="AA84" i="3"/>
  <c r="Z84" i="3"/>
  <c r="Y84" i="3"/>
  <c r="X84" i="3"/>
  <c r="W84" i="3"/>
  <c r="V84" i="3"/>
  <c r="AH83" i="3"/>
  <c r="AG83" i="3"/>
  <c r="AF83" i="3"/>
  <c r="AE83" i="3"/>
  <c r="AD83" i="3"/>
  <c r="AC83" i="3"/>
  <c r="AB83" i="3"/>
  <c r="AA83" i="3"/>
  <c r="Z83" i="3"/>
  <c r="Y83" i="3"/>
  <c r="X83" i="3"/>
  <c r="W83" i="3"/>
  <c r="V83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AH81" i="3"/>
  <c r="AG81" i="3"/>
  <c r="AF81" i="3"/>
  <c r="AE81" i="3"/>
  <c r="AD81" i="3"/>
  <c r="AC81" i="3"/>
  <c r="AB81" i="3"/>
  <c r="AA81" i="3"/>
  <c r="Z81" i="3"/>
  <c r="Y81" i="3"/>
  <c r="X81" i="3"/>
  <c r="W81" i="3"/>
  <c r="V81" i="3"/>
  <c r="AH80" i="3"/>
  <c r="AG80" i="3"/>
  <c r="AF80" i="3"/>
  <c r="AE80" i="3"/>
  <c r="AD80" i="3"/>
  <c r="AC80" i="3"/>
  <c r="AB80" i="3"/>
  <c r="AA80" i="3"/>
  <c r="Z80" i="3"/>
  <c r="Y80" i="3"/>
  <c r="X80" i="3"/>
  <c r="W80" i="3"/>
  <c r="V80" i="3"/>
  <c r="AH79" i="3"/>
  <c r="AG79" i="3"/>
  <c r="AF79" i="3"/>
  <c r="AE79" i="3"/>
  <c r="AD79" i="3"/>
  <c r="AC79" i="3"/>
  <c r="AB79" i="3"/>
  <c r="AA79" i="3"/>
  <c r="Z79" i="3"/>
  <c r="Y79" i="3"/>
  <c r="X79" i="3"/>
  <c r="W79" i="3"/>
  <c r="V79" i="3"/>
  <c r="AH78" i="3"/>
  <c r="AG78" i="3"/>
  <c r="AF78" i="3"/>
  <c r="AE78" i="3"/>
  <c r="AD78" i="3"/>
  <c r="AC78" i="3"/>
  <c r="AB78" i="3"/>
  <c r="AA78" i="3"/>
  <c r="Z78" i="3"/>
  <c r="Y78" i="3"/>
  <c r="X78" i="3"/>
  <c r="W78" i="3"/>
  <c r="V78" i="3"/>
  <c r="AH77" i="3"/>
  <c r="AG77" i="3"/>
  <c r="AF77" i="3"/>
  <c r="AE77" i="3"/>
  <c r="AD77" i="3"/>
  <c r="AC77" i="3"/>
  <c r="AB77" i="3"/>
  <c r="AA77" i="3"/>
  <c r="Z77" i="3"/>
  <c r="Y77" i="3"/>
  <c r="X77" i="3"/>
  <c r="W77" i="3"/>
  <c r="V77" i="3"/>
  <c r="AH76" i="3"/>
  <c r="AG76" i="3"/>
  <c r="AF76" i="3"/>
  <c r="AE76" i="3"/>
  <c r="AD76" i="3"/>
  <c r="AC76" i="3"/>
  <c r="AB76" i="3"/>
  <c r="AA76" i="3"/>
  <c r="Z76" i="3"/>
  <c r="Y76" i="3"/>
  <c r="X76" i="3"/>
  <c r="W76" i="3"/>
  <c r="V76" i="3"/>
  <c r="AH75" i="3"/>
  <c r="AG75" i="3"/>
  <c r="AF75" i="3"/>
  <c r="AE75" i="3"/>
  <c r="AD75" i="3"/>
  <c r="AC75" i="3"/>
  <c r="AB75" i="3"/>
  <c r="AA75" i="3"/>
  <c r="Z75" i="3"/>
  <c r="Y75" i="3"/>
  <c r="X75" i="3"/>
  <c r="W75" i="3"/>
  <c r="V75" i="3"/>
  <c r="AH74" i="3"/>
  <c r="AG74" i="3"/>
  <c r="AF74" i="3"/>
  <c r="AE74" i="3"/>
  <c r="AD74" i="3"/>
  <c r="AC74" i="3"/>
  <c r="AB74" i="3"/>
  <c r="AA74" i="3"/>
  <c r="Z74" i="3"/>
  <c r="Y74" i="3"/>
  <c r="X74" i="3"/>
  <c r="W74" i="3"/>
  <c r="V74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AH72" i="3"/>
  <c r="AG72" i="3"/>
  <c r="AF72" i="3"/>
  <c r="AE72" i="3"/>
  <c r="AD72" i="3"/>
  <c r="AC72" i="3"/>
  <c r="AB72" i="3"/>
  <c r="AA72" i="3"/>
  <c r="Z72" i="3"/>
  <c r="Y72" i="3"/>
  <c r="X72" i="3"/>
  <c r="W72" i="3"/>
  <c r="V72" i="3"/>
  <c r="AH71" i="3"/>
  <c r="AG71" i="3"/>
  <c r="AF71" i="3"/>
  <c r="AE71" i="3"/>
  <c r="AD71" i="3"/>
  <c r="AC71" i="3"/>
  <c r="AB71" i="3"/>
  <c r="AA71" i="3"/>
  <c r="Z71" i="3"/>
  <c r="Y71" i="3"/>
  <c r="X71" i="3"/>
  <c r="W71" i="3"/>
  <c r="V71" i="3"/>
  <c r="AH70" i="3"/>
  <c r="AG70" i="3"/>
  <c r="AF70" i="3"/>
  <c r="AE70" i="3"/>
  <c r="AD70" i="3"/>
  <c r="AC70" i="3"/>
  <c r="AB70" i="3"/>
  <c r="AA70" i="3"/>
  <c r="Z70" i="3"/>
  <c r="Y70" i="3"/>
  <c r="X70" i="3"/>
  <c r="W70" i="3"/>
  <c r="V70" i="3"/>
  <c r="AH69" i="3"/>
  <c r="AG69" i="3"/>
  <c r="AF69" i="3"/>
  <c r="AE69" i="3"/>
  <c r="AD69" i="3"/>
  <c r="AC69" i="3"/>
  <c r="AB69" i="3"/>
  <c r="AA69" i="3"/>
  <c r="Z69" i="3"/>
  <c r="Y69" i="3"/>
  <c r="X69" i="3"/>
  <c r="W69" i="3"/>
  <c r="V69" i="3"/>
  <c r="AH68" i="3"/>
  <c r="AG68" i="3"/>
  <c r="AF68" i="3"/>
  <c r="AE68" i="3"/>
  <c r="AD68" i="3"/>
  <c r="AC68" i="3"/>
  <c r="AB68" i="3"/>
  <c r="AA68" i="3"/>
  <c r="Z68" i="3"/>
  <c r="Y68" i="3"/>
  <c r="X68" i="3"/>
  <c r="W68" i="3"/>
  <c r="V68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AH66" i="3"/>
  <c r="AG66" i="3"/>
  <c r="AF66" i="3"/>
  <c r="AE66" i="3"/>
  <c r="AD66" i="3"/>
  <c r="AC66" i="3"/>
  <c r="AB66" i="3"/>
  <c r="AA66" i="3"/>
  <c r="Z66" i="3"/>
  <c r="Y66" i="3"/>
  <c r="X66" i="3"/>
  <c r="W66" i="3"/>
  <c r="V66" i="3"/>
  <c r="AH65" i="3"/>
  <c r="AG65" i="3"/>
  <c r="AF65" i="3"/>
  <c r="AE65" i="3"/>
  <c r="AD65" i="3"/>
  <c r="AC65" i="3"/>
  <c r="AB65" i="3"/>
  <c r="AA65" i="3"/>
  <c r="Z65" i="3"/>
  <c r="Y65" i="3"/>
  <c r="X65" i="3"/>
  <c r="W65" i="3"/>
  <c r="V65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AH60" i="3"/>
  <c r="AG60" i="3"/>
  <c r="AF60" i="3"/>
  <c r="AE60" i="3"/>
  <c r="AD60" i="3"/>
  <c r="AC60" i="3"/>
  <c r="AB60" i="3"/>
  <c r="AA60" i="3"/>
  <c r="Z60" i="3"/>
  <c r="Y60" i="3"/>
  <c r="X60" i="3"/>
  <c r="W60" i="3"/>
  <c r="V60" i="3"/>
  <c r="AH59" i="3"/>
  <c r="AG59" i="3"/>
  <c r="AF59" i="3"/>
  <c r="AE59" i="3"/>
  <c r="AD59" i="3"/>
  <c r="AC59" i="3"/>
  <c r="AB59" i="3"/>
  <c r="AA59" i="3"/>
  <c r="Z59" i="3"/>
  <c r="Y59" i="3"/>
  <c r="X59" i="3"/>
  <c r="W59" i="3"/>
  <c r="V59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AH56" i="3"/>
  <c r="AG56" i="3"/>
  <c r="AF56" i="3"/>
  <c r="AE56" i="3"/>
  <c r="AD56" i="3"/>
  <c r="AC56" i="3"/>
  <c r="AB56" i="3"/>
  <c r="AA56" i="3"/>
  <c r="Z56" i="3"/>
  <c r="Y56" i="3"/>
  <c r="X56" i="3"/>
  <c r="W56" i="3"/>
  <c r="V56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AH54" i="3"/>
  <c r="AG54" i="3"/>
  <c r="AF54" i="3"/>
  <c r="AE54" i="3"/>
  <c r="AD54" i="3"/>
  <c r="AC54" i="3"/>
  <c r="AB54" i="3"/>
  <c r="AA54" i="3"/>
  <c r="Z54" i="3"/>
  <c r="Y54" i="3"/>
  <c r="X54" i="3"/>
  <c r="W54" i="3"/>
  <c r="V54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AH51" i="3"/>
  <c r="AG51" i="3"/>
  <c r="AF51" i="3"/>
  <c r="AE51" i="3"/>
  <c r="AD51" i="3"/>
  <c r="AC51" i="3"/>
  <c r="AB51" i="3"/>
  <c r="AA51" i="3"/>
  <c r="Z51" i="3"/>
  <c r="Y51" i="3"/>
  <c r="X51" i="3"/>
  <c r="W51" i="3"/>
  <c r="V51" i="3"/>
  <c r="AH50" i="3"/>
  <c r="AG50" i="3"/>
  <c r="AF50" i="3"/>
  <c r="AE50" i="3"/>
  <c r="AD50" i="3"/>
  <c r="AC50" i="3"/>
  <c r="AB50" i="3"/>
  <c r="AA50" i="3"/>
  <c r="Z50" i="3"/>
  <c r="Y50" i="3"/>
  <c r="X50" i="3"/>
  <c r="W50" i="3"/>
  <c r="V50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AH45" i="3"/>
  <c r="AG45" i="3"/>
  <c r="AF45" i="3"/>
  <c r="AE45" i="3"/>
  <c r="AD45" i="3"/>
  <c r="AC45" i="3"/>
  <c r="AB45" i="3"/>
  <c r="AA45" i="3"/>
  <c r="Z45" i="3"/>
  <c r="Y45" i="3"/>
  <c r="X45" i="3"/>
  <c r="W45" i="3"/>
  <c r="V45" i="3"/>
  <c r="AH44" i="3"/>
  <c r="AG44" i="3"/>
  <c r="AF44" i="3"/>
  <c r="AE44" i="3"/>
  <c r="AD44" i="3"/>
  <c r="AC44" i="3"/>
  <c r="AB44" i="3"/>
  <c r="AA44" i="3"/>
  <c r="Z44" i="3"/>
  <c r="Y44" i="3"/>
  <c r="X44" i="3"/>
  <c r="W44" i="3"/>
  <c r="V44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AH4" i="3"/>
  <c r="AG4" i="3"/>
  <c r="AF4" i="3"/>
  <c r="AF92" i="3" s="1"/>
  <c r="AF93" i="3" s="1"/>
  <c r="AE4" i="3"/>
  <c r="AD4" i="3"/>
  <c r="AC4" i="3"/>
  <c r="AB4" i="3"/>
  <c r="AA4" i="3"/>
  <c r="Z4" i="3"/>
  <c r="Y4" i="3"/>
  <c r="X4" i="3"/>
  <c r="X92" i="3" s="1"/>
  <c r="X93" i="3" s="1"/>
  <c r="W4" i="3"/>
  <c r="V4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AH2" i="3"/>
  <c r="AH92" i="3" s="1"/>
  <c r="AH93" i="3" s="1"/>
  <c r="AG2" i="3"/>
  <c r="AG92" i="3" s="1"/>
  <c r="AG93" i="3" s="1"/>
  <c r="AF2" i="3"/>
  <c r="AE2" i="3"/>
  <c r="AE92" i="3" s="1"/>
  <c r="AE93" i="3" s="1"/>
  <c r="AD2" i="3"/>
  <c r="AD92" i="3" s="1"/>
  <c r="AD93" i="3" s="1"/>
  <c r="AC2" i="3"/>
  <c r="AC92" i="3" s="1"/>
  <c r="AC93" i="3" s="1"/>
  <c r="AB2" i="3"/>
  <c r="AB92" i="3" s="1"/>
  <c r="AB93" i="3" s="1"/>
  <c r="AA2" i="3"/>
  <c r="AA92" i="3" s="1"/>
  <c r="AA93" i="3" s="1"/>
  <c r="Z2" i="3"/>
  <c r="Z92" i="3" s="1"/>
  <c r="Z93" i="3" s="1"/>
  <c r="Y2" i="3"/>
  <c r="Y92" i="3" s="1"/>
  <c r="Y93" i="3" s="1"/>
  <c r="X2" i="3"/>
  <c r="W2" i="3"/>
  <c r="W92" i="3" s="1"/>
  <c r="W93" i="3" s="1"/>
  <c r="V2" i="3"/>
  <c r="V92" i="3" s="1"/>
  <c r="V93" i="3" s="1"/>
  <c r="T301" i="1"/>
  <c r="S301" i="1"/>
  <c r="R301" i="1"/>
  <c r="Q301" i="1"/>
  <c r="AH300" i="1"/>
  <c r="AG300" i="1"/>
  <c r="AF300" i="1"/>
  <c r="AE300" i="1"/>
  <c r="AD300" i="1"/>
  <c r="AC300" i="1"/>
  <c r="AB300" i="1"/>
  <c r="AA300" i="1"/>
  <c r="Z300" i="1"/>
  <c r="Y300" i="1"/>
  <c r="X300" i="1"/>
  <c r="W300" i="1"/>
  <c r="V300" i="1"/>
  <c r="U300" i="1"/>
  <c r="AH299" i="1"/>
  <c r="AG299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AH298" i="1"/>
  <c r="AG298" i="1"/>
  <c r="AF298" i="1"/>
  <c r="AE298" i="1"/>
  <c r="AD298" i="1"/>
  <c r="AC298" i="1"/>
  <c r="AB298" i="1"/>
  <c r="AA298" i="1"/>
  <c r="Z298" i="1"/>
  <c r="Y298" i="1"/>
  <c r="X298" i="1"/>
  <c r="W298" i="1"/>
  <c r="V298" i="1"/>
  <c r="U298" i="1"/>
  <c r="AH297" i="1"/>
  <c r="AG297" i="1"/>
  <c r="AF297" i="1"/>
  <c r="AE297" i="1"/>
  <c r="AD297" i="1"/>
  <c r="AC297" i="1"/>
  <c r="AB297" i="1"/>
  <c r="AA297" i="1"/>
  <c r="Z297" i="1"/>
  <c r="Y297" i="1"/>
  <c r="X297" i="1"/>
  <c r="W297" i="1"/>
  <c r="V297" i="1"/>
  <c r="U297" i="1"/>
  <c r="AH296" i="1"/>
  <c r="AG296" i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AH295" i="1"/>
  <c r="AG295" i="1"/>
  <c r="AF295" i="1"/>
  <c r="AE295" i="1"/>
  <c r="AD295" i="1"/>
  <c r="AC295" i="1"/>
  <c r="AB295" i="1"/>
  <c r="AA295" i="1"/>
  <c r="Z295" i="1"/>
  <c r="Y295" i="1"/>
  <c r="X295" i="1"/>
  <c r="W295" i="1"/>
  <c r="V295" i="1"/>
  <c r="U295" i="1"/>
  <c r="AH294" i="1"/>
  <c r="AG294" i="1"/>
  <c r="AF294" i="1"/>
  <c r="AE294" i="1"/>
  <c r="AD294" i="1"/>
  <c r="AC294" i="1"/>
  <c r="AB294" i="1"/>
  <c r="AA294" i="1"/>
  <c r="Z294" i="1"/>
  <c r="Y294" i="1"/>
  <c r="X294" i="1"/>
  <c r="W294" i="1"/>
  <c r="V294" i="1"/>
  <c r="U294" i="1"/>
  <c r="AH293" i="1"/>
  <c r="AG293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AH292" i="1"/>
  <c r="AG292" i="1"/>
  <c r="AF292" i="1"/>
  <c r="AE292" i="1"/>
  <c r="AD292" i="1"/>
  <c r="AC292" i="1"/>
  <c r="AB292" i="1"/>
  <c r="AA292" i="1"/>
  <c r="Z292" i="1"/>
  <c r="Y292" i="1"/>
  <c r="X292" i="1"/>
  <c r="W292" i="1"/>
  <c r="V292" i="1"/>
  <c r="U292" i="1"/>
  <c r="AH291" i="1"/>
  <c r="AG291" i="1"/>
  <c r="AF291" i="1"/>
  <c r="AE291" i="1"/>
  <c r="AD291" i="1"/>
  <c r="AC291" i="1"/>
  <c r="AB291" i="1"/>
  <c r="AA291" i="1"/>
  <c r="Z291" i="1"/>
  <c r="Y291" i="1"/>
  <c r="X291" i="1"/>
  <c r="W291" i="1"/>
  <c r="V291" i="1"/>
  <c r="U291" i="1"/>
  <c r="AH290" i="1"/>
  <c r="AG290" i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AH289" i="1"/>
  <c r="AG289" i="1"/>
  <c r="AF289" i="1"/>
  <c r="AE289" i="1"/>
  <c r="AD289" i="1"/>
  <c r="AC289" i="1"/>
  <c r="AB289" i="1"/>
  <c r="AA289" i="1"/>
  <c r="Z289" i="1"/>
  <c r="Y289" i="1"/>
  <c r="X289" i="1"/>
  <c r="W289" i="1"/>
  <c r="V289" i="1"/>
  <c r="U289" i="1"/>
  <c r="AH288" i="1"/>
  <c r="AG288" i="1"/>
  <c r="AF288" i="1"/>
  <c r="AE288" i="1"/>
  <c r="AD288" i="1"/>
  <c r="AC288" i="1"/>
  <c r="AB288" i="1"/>
  <c r="AA288" i="1"/>
  <c r="Z288" i="1"/>
  <c r="Y288" i="1"/>
  <c r="X288" i="1"/>
  <c r="W288" i="1"/>
  <c r="V288" i="1"/>
  <c r="U288" i="1"/>
  <c r="AH287" i="1"/>
  <c r="AG287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AH286" i="1"/>
  <c r="AG286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AH285" i="1"/>
  <c r="AG285" i="1"/>
  <c r="AF285" i="1"/>
  <c r="AE285" i="1"/>
  <c r="AD285" i="1"/>
  <c r="AC285" i="1"/>
  <c r="AB285" i="1"/>
  <c r="AA285" i="1"/>
  <c r="Z285" i="1"/>
  <c r="Y285" i="1"/>
  <c r="X285" i="1"/>
  <c r="W285" i="1"/>
  <c r="V285" i="1"/>
  <c r="U285" i="1"/>
  <c r="AH284" i="1"/>
  <c r="AG284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AH283" i="1"/>
  <c r="AG283" i="1"/>
  <c r="AF283" i="1"/>
  <c r="AE283" i="1"/>
  <c r="AD283" i="1"/>
  <c r="AC283" i="1"/>
  <c r="AB283" i="1"/>
  <c r="AA283" i="1"/>
  <c r="Z283" i="1"/>
  <c r="Y283" i="1"/>
  <c r="X283" i="1"/>
  <c r="W283" i="1"/>
  <c r="V283" i="1"/>
  <c r="U283" i="1"/>
  <c r="AH282" i="1"/>
  <c r="AG282" i="1"/>
  <c r="AF282" i="1"/>
  <c r="AE282" i="1"/>
  <c r="AD282" i="1"/>
  <c r="AC282" i="1"/>
  <c r="AB282" i="1"/>
  <c r="AA282" i="1"/>
  <c r="Z282" i="1"/>
  <c r="Y282" i="1"/>
  <c r="X282" i="1"/>
  <c r="W282" i="1"/>
  <c r="V282" i="1"/>
  <c r="U282" i="1"/>
  <c r="AH281" i="1"/>
  <c r="AG281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AH280" i="1"/>
  <c r="AG280" i="1"/>
  <c r="AF280" i="1"/>
  <c r="AE280" i="1"/>
  <c r="AD280" i="1"/>
  <c r="AC280" i="1"/>
  <c r="AB280" i="1"/>
  <c r="AA280" i="1"/>
  <c r="Z280" i="1"/>
  <c r="Y280" i="1"/>
  <c r="X280" i="1"/>
  <c r="W280" i="1"/>
  <c r="V280" i="1"/>
  <c r="U280" i="1"/>
  <c r="AH279" i="1"/>
  <c r="AG279" i="1"/>
  <c r="AF279" i="1"/>
  <c r="AE279" i="1"/>
  <c r="AD279" i="1"/>
  <c r="AC279" i="1"/>
  <c r="AB279" i="1"/>
  <c r="AA279" i="1"/>
  <c r="Z279" i="1"/>
  <c r="Y279" i="1"/>
  <c r="X279" i="1"/>
  <c r="W279" i="1"/>
  <c r="V279" i="1"/>
  <c r="U279" i="1"/>
  <c r="AH278" i="1"/>
  <c r="AG278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AH277" i="1"/>
  <c r="AG277" i="1"/>
  <c r="AF277" i="1"/>
  <c r="AE277" i="1"/>
  <c r="AD277" i="1"/>
  <c r="AC277" i="1"/>
  <c r="AB277" i="1"/>
  <c r="AA277" i="1"/>
  <c r="Z277" i="1"/>
  <c r="Y277" i="1"/>
  <c r="X277" i="1"/>
  <c r="W277" i="1"/>
  <c r="V277" i="1"/>
  <c r="U277" i="1"/>
  <c r="AH276" i="1"/>
  <c r="AG276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AH275" i="1"/>
  <c r="AG275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AH274" i="1"/>
  <c r="AG274" i="1"/>
  <c r="AF274" i="1"/>
  <c r="AE274" i="1"/>
  <c r="AD274" i="1"/>
  <c r="AC274" i="1"/>
  <c r="AB274" i="1"/>
  <c r="AA274" i="1"/>
  <c r="Z274" i="1"/>
  <c r="Y274" i="1"/>
  <c r="X274" i="1"/>
  <c r="W274" i="1"/>
  <c r="V274" i="1"/>
  <c r="U274" i="1"/>
  <c r="AH273" i="1"/>
  <c r="AG273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AH272" i="1"/>
  <c r="AG272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AH271" i="1"/>
  <c r="AG271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AH270" i="1"/>
  <c r="AG270" i="1"/>
  <c r="AF270" i="1"/>
  <c r="AE270" i="1"/>
  <c r="AD270" i="1"/>
  <c r="AC270" i="1"/>
  <c r="AB270" i="1"/>
  <c r="AA270" i="1"/>
  <c r="Z270" i="1"/>
  <c r="Y270" i="1"/>
  <c r="X270" i="1"/>
  <c r="W270" i="1"/>
  <c r="V270" i="1"/>
  <c r="U270" i="1"/>
  <c r="AH269" i="1"/>
  <c r="AG269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AH268" i="1"/>
  <c r="AG268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AH267" i="1"/>
  <c r="AG267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AH266" i="1"/>
  <c r="AG266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AH265" i="1"/>
  <c r="AG265" i="1"/>
  <c r="AF265" i="1"/>
  <c r="AE265" i="1"/>
  <c r="AD265" i="1"/>
  <c r="AC265" i="1"/>
  <c r="AB265" i="1"/>
  <c r="AA265" i="1"/>
  <c r="Z265" i="1"/>
  <c r="Y265" i="1"/>
  <c r="X265" i="1"/>
  <c r="W265" i="1"/>
  <c r="V265" i="1"/>
  <c r="U265" i="1"/>
  <c r="AH264" i="1"/>
  <c r="AG264" i="1"/>
  <c r="AF264" i="1"/>
  <c r="AE264" i="1"/>
  <c r="AD264" i="1"/>
  <c r="AC264" i="1"/>
  <c r="AB264" i="1"/>
  <c r="AA264" i="1"/>
  <c r="Z264" i="1"/>
  <c r="Y264" i="1"/>
  <c r="X264" i="1"/>
  <c r="W264" i="1"/>
  <c r="V264" i="1"/>
  <c r="U264" i="1"/>
  <c r="AH263" i="1"/>
  <c r="AG263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AH262" i="1"/>
  <c r="AG262" i="1"/>
  <c r="AF262" i="1"/>
  <c r="AE262" i="1"/>
  <c r="AD262" i="1"/>
  <c r="AC262" i="1"/>
  <c r="AB262" i="1"/>
  <c r="AA262" i="1"/>
  <c r="Z262" i="1"/>
  <c r="Y262" i="1"/>
  <c r="X262" i="1"/>
  <c r="W262" i="1"/>
  <c r="V262" i="1"/>
  <c r="U262" i="1"/>
  <c r="AH261" i="1"/>
  <c r="AG261" i="1"/>
  <c r="AF261" i="1"/>
  <c r="AE261" i="1"/>
  <c r="AD261" i="1"/>
  <c r="AC261" i="1"/>
  <c r="AB261" i="1"/>
  <c r="AA261" i="1"/>
  <c r="Z261" i="1"/>
  <c r="Y261" i="1"/>
  <c r="X261" i="1"/>
  <c r="W261" i="1"/>
  <c r="V261" i="1"/>
  <c r="U261" i="1"/>
  <c r="AH260" i="1"/>
  <c r="AG260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AH259" i="1"/>
  <c r="AG259" i="1"/>
  <c r="AF259" i="1"/>
  <c r="AE259" i="1"/>
  <c r="AD259" i="1"/>
  <c r="AC259" i="1"/>
  <c r="AB259" i="1"/>
  <c r="AA259" i="1"/>
  <c r="Z259" i="1"/>
  <c r="Y259" i="1"/>
  <c r="X259" i="1"/>
  <c r="W259" i="1"/>
  <c r="V259" i="1"/>
  <c r="U259" i="1"/>
  <c r="AH258" i="1"/>
  <c r="AG258" i="1"/>
  <c r="AF258" i="1"/>
  <c r="AE258" i="1"/>
  <c r="AD258" i="1"/>
  <c r="AC258" i="1"/>
  <c r="AB258" i="1"/>
  <c r="AA258" i="1"/>
  <c r="Z258" i="1"/>
  <c r="Y258" i="1"/>
  <c r="X258" i="1"/>
  <c r="W258" i="1"/>
  <c r="V258" i="1"/>
  <c r="U258" i="1"/>
  <c r="AH257" i="1"/>
  <c r="AG257" i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AH255" i="1"/>
  <c r="AG255" i="1"/>
  <c r="AF255" i="1"/>
  <c r="AE255" i="1"/>
  <c r="AD255" i="1"/>
  <c r="AC255" i="1"/>
  <c r="AB255" i="1"/>
  <c r="AA255" i="1"/>
  <c r="Z255" i="1"/>
  <c r="Y255" i="1"/>
  <c r="X255" i="1"/>
  <c r="W255" i="1"/>
  <c r="V255" i="1"/>
  <c r="U255" i="1"/>
  <c r="AH254" i="1"/>
  <c r="AG254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AH253" i="1"/>
  <c r="AG253" i="1"/>
  <c r="AF253" i="1"/>
  <c r="AE253" i="1"/>
  <c r="AD253" i="1"/>
  <c r="AC253" i="1"/>
  <c r="AB253" i="1"/>
  <c r="AA253" i="1"/>
  <c r="Z253" i="1"/>
  <c r="Y253" i="1"/>
  <c r="X253" i="1"/>
  <c r="W253" i="1"/>
  <c r="V253" i="1"/>
  <c r="U253" i="1"/>
  <c r="AH252" i="1"/>
  <c r="AG252" i="1"/>
  <c r="AF252" i="1"/>
  <c r="AE252" i="1"/>
  <c r="AD252" i="1"/>
  <c r="AC252" i="1"/>
  <c r="AB252" i="1"/>
  <c r="AA252" i="1"/>
  <c r="Z252" i="1"/>
  <c r="Y252" i="1"/>
  <c r="X252" i="1"/>
  <c r="W252" i="1"/>
  <c r="V252" i="1"/>
  <c r="U252" i="1"/>
  <c r="AH251" i="1"/>
  <c r="AG251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AH250" i="1"/>
  <c r="AG250" i="1"/>
  <c r="AF250" i="1"/>
  <c r="AE250" i="1"/>
  <c r="AD250" i="1"/>
  <c r="AC250" i="1"/>
  <c r="AB250" i="1"/>
  <c r="AA250" i="1"/>
  <c r="Z250" i="1"/>
  <c r="Y250" i="1"/>
  <c r="X250" i="1"/>
  <c r="W250" i="1"/>
  <c r="V250" i="1"/>
  <c r="U250" i="1"/>
  <c r="AH249" i="1"/>
  <c r="AG249" i="1"/>
  <c r="AF249" i="1"/>
  <c r="AE249" i="1"/>
  <c r="AD249" i="1"/>
  <c r="AC249" i="1"/>
  <c r="AB249" i="1"/>
  <c r="AA249" i="1"/>
  <c r="Z249" i="1"/>
  <c r="Y249" i="1"/>
  <c r="X249" i="1"/>
  <c r="W249" i="1"/>
  <c r="V249" i="1"/>
  <c r="U249" i="1"/>
  <c r="AH248" i="1"/>
  <c r="A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AH247" i="1"/>
  <c r="AG247" i="1"/>
  <c r="AF247" i="1"/>
  <c r="AE247" i="1"/>
  <c r="AD247" i="1"/>
  <c r="AC247" i="1"/>
  <c r="AB247" i="1"/>
  <c r="AA247" i="1"/>
  <c r="Z247" i="1"/>
  <c r="Y247" i="1"/>
  <c r="X247" i="1"/>
  <c r="W247" i="1"/>
  <c r="V247" i="1"/>
  <c r="U247" i="1"/>
  <c r="AH246" i="1"/>
  <c r="AG246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AH245" i="1"/>
  <c r="AG245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AH244" i="1"/>
  <c r="AG244" i="1"/>
  <c r="AF244" i="1"/>
  <c r="AE244" i="1"/>
  <c r="AD244" i="1"/>
  <c r="AC244" i="1"/>
  <c r="AB244" i="1"/>
  <c r="AA244" i="1"/>
  <c r="Z244" i="1"/>
  <c r="Y244" i="1"/>
  <c r="X244" i="1"/>
  <c r="W244" i="1"/>
  <c r="V244" i="1"/>
  <c r="U244" i="1"/>
  <c r="AH243" i="1"/>
  <c r="AG243" i="1"/>
  <c r="AF243" i="1"/>
  <c r="AE243" i="1"/>
  <c r="AD243" i="1"/>
  <c r="AC243" i="1"/>
  <c r="AB243" i="1"/>
  <c r="AA243" i="1"/>
  <c r="Z243" i="1"/>
  <c r="Y243" i="1"/>
  <c r="X243" i="1"/>
  <c r="W243" i="1"/>
  <c r="V243" i="1"/>
  <c r="U243" i="1"/>
  <c r="AH242" i="1"/>
  <c r="AG242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AH241" i="1"/>
  <c r="AG241" i="1"/>
  <c r="AF241" i="1"/>
  <c r="AE241" i="1"/>
  <c r="AD241" i="1"/>
  <c r="AC241" i="1"/>
  <c r="AB241" i="1"/>
  <c r="AA241" i="1"/>
  <c r="Z241" i="1"/>
  <c r="Y241" i="1"/>
  <c r="X241" i="1"/>
  <c r="W241" i="1"/>
  <c r="V241" i="1"/>
  <c r="U241" i="1"/>
  <c r="AH240" i="1"/>
  <c r="AG240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AH239" i="1"/>
  <c r="AG239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AH238" i="1"/>
  <c r="AG238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AH237" i="1"/>
  <c r="AG237" i="1"/>
  <c r="AF237" i="1"/>
  <c r="AE237" i="1"/>
  <c r="AD237" i="1"/>
  <c r="AC237" i="1"/>
  <c r="AB237" i="1"/>
  <c r="AA237" i="1"/>
  <c r="Z237" i="1"/>
  <c r="Y237" i="1"/>
  <c r="X237" i="1"/>
  <c r="W237" i="1"/>
  <c r="V237" i="1"/>
  <c r="U237" i="1"/>
  <c r="AH236" i="1"/>
  <c r="AG236" i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AH235" i="1"/>
  <c r="AG235" i="1"/>
  <c r="AF235" i="1"/>
  <c r="AE235" i="1"/>
  <c r="AD235" i="1"/>
  <c r="AC235" i="1"/>
  <c r="AB235" i="1"/>
  <c r="AA235" i="1"/>
  <c r="Z235" i="1"/>
  <c r="Y235" i="1"/>
  <c r="X235" i="1"/>
  <c r="W235" i="1"/>
  <c r="V235" i="1"/>
  <c r="U235" i="1"/>
  <c r="AH234" i="1"/>
  <c r="AG234" i="1"/>
  <c r="AF234" i="1"/>
  <c r="AE234" i="1"/>
  <c r="AD234" i="1"/>
  <c r="AC234" i="1"/>
  <c r="AB234" i="1"/>
  <c r="AA234" i="1"/>
  <c r="Z234" i="1"/>
  <c r="Y234" i="1"/>
  <c r="X234" i="1"/>
  <c r="W234" i="1"/>
  <c r="V234" i="1"/>
  <c r="U234" i="1"/>
  <c r="AH233" i="1"/>
  <c r="AG233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AH232" i="1"/>
  <c r="AG232" i="1"/>
  <c r="AF232" i="1"/>
  <c r="AE232" i="1"/>
  <c r="AD232" i="1"/>
  <c r="AC232" i="1"/>
  <c r="AB232" i="1"/>
  <c r="AA232" i="1"/>
  <c r="Z232" i="1"/>
  <c r="Y232" i="1"/>
  <c r="X232" i="1"/>
  <c r="W232" i="1"/>
  <c r="V232" i="1"/>
  <c r="U232" i="1"/>
  <c r="AH231" i="1"/>
  <c r="AG231" i="1"/>
  <c r="AF231" i="1"/>
  <c r="AE231" i="1"/>
  <c r="AD231" i="1"/>
  <c r="AC231" i="1"/>
  <c r="AB231" i="1"/>
  <c r="AA231" i="1"/>
  <c r="Z231" i="1"/>
  <c r="Y231" i="1"/>
  <c r="X231" i="1"/>
  <c r="W231" i="1"/>
  <c r="V231" i="1"/>
  <c r="U231" i="1"/>
  <c r="AH230" i="1"/>
  <c r="AG230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AH229" i="1"/>
  <c r="AG229" i="1"/>
  <c r="AF229" i="1"/>
  <c r="AE229" i="1"/>
  <c r="AD229" i="1"/>
  <c r="AC229" i="1"/>
  <c r="AB229" i="1"/>
  <c r="AA229" i="1"/>
  <c r="Z229" i="1"/>
  <c r="Y229" i="1"/>
  <c r="X229" i="1"/>
  <c r="W229" i="1"/>
  <c r="V229" i="1"/>
  <c r="U229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AH227" i="1"/>
  <c r="AG227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AH226" i="1"/>
  <c r="AG226" i="1"/>
  <c r="AF226" i="1"/>
  <c r="AE226" i="1"/>
  <c r="AD226" i="1"/>
  <c r="AC226" i="1"/>
  <c r="AB226" i="1"/>
  <c r="AA226" i="1"/>
  <c r="Z226" i="1"/>
  <c r="Y226" i="1"/>
  <c r="X226" i="1"/>
  <c r="W226" i="1"/>
  <c r="V226" i="1"/>
  <c r="U226" i="1"/>
  <c r="AH225" i="1"/>
  <c r="AG225" i="1"/>
  <c r="AF225" i="1"/>
  <c r="AE225" i="1"/>
  <c r="AD225" i="1"/>
  <c r="AC225" i="1"/>
  <c r="AB225" i="1"/>
  <c r="AA225" i="1"/>
  <c r="Z225" i="1"/>
  <c r="Y225" i="1"/>
  <c r="X225" i="1"/>
  <c r="W225" i="1"/>
  <c r="V225" i="1"/>
  <c r="U225" i="1"/>
  <c r="AH224" i="1"/>
  <c r="AG224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AH223" i="1"/>
  <c r="AG223" i="1"/>
  <c r="AF223" i="1"/>
  <c r="AE223" i="1"/>
  <c r="AD223" i="1"/>
  <c r="AC223" i="1"/>
  <c r="AB223" i="1"/>
  <c r="AA223" i="1"/>
  <c r="Z223" i="1"/>
  <c r="Y223" i="1"/>
  <c r="X223" i="1"/>
  <c r="W223" i="1"/>
  <c r="V223" i="1"/>
  <c r="U223" i="1"/>
  <c r="AH222" i="1"/>
  <c r="AG222" i="1"/>
  <c r="AF222" i="1"/>
  <c r="AE222" i="1"/>
  <c r="AD222" i="1"/>
  <c r="AC222" i="1"/>
  <c r="AB222" i="1"/>
  <c r="AA222" i="1"/>
  <c r="Z222" i="1"/>
  <c r="Y222" i="1"/>
  <c r="X222" i="1"/>
  <c r="W222" i="1"/>
  <c r="V222" i="1"/>
  <c r="U222" i="1"/>
  <c r="AH221" i="1"/>
  <c r="AG221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AH220" i="1"/>
  <c r="AG220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AH219" i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AH218" i="1"/>
  <c r="AG218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AH215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AH214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AH213" i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AH212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AH210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AH209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AH207" i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AH206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AH205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AH204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AH203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AH202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AH201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AH200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AH198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AH197" i="1"/>
  <c r="AG197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AH196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AH194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AH193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AH192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AH191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AH190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AH189" i="1"/>
  <c r="AG189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AH188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AH187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AH186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AH185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AH184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AH181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AH180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AH178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AH173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AH172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AH170" i="1"/>
  <c r="AG170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AH3" i="1"/>
  <c r="AH301" i="1" s="1"/>
  <c r="AH302" i="1" s="1"/>
  <c r="AG3" i="1"/>
  <c r="AG301" i="1" s="1"/>
  <c r="AG302" i="1" s="1"/>
  <c r="AF3" i="1"/>
  <c r="AF301" i="1" s="1"/>
  <c r="AF302" i="1" s="1"/>
  <c r="AE3" i="1"/>
  <c r="AE301" i="1" s="1"/>
  <c r="AE302" i="1" s="1"/>
  <c r="AD3" i="1"/>
  <c r="AD301" i="1" s="1"/>
  <c r="AD302" i="1" s="1"/>
  <c r="AC3" i="1"/>
  <c r="AC301" i="1" s="1"/>
  <c r="AC302" i="1" s="1"/>
  <c r="AB3" i="1"/>
  <c r="AB301" i="1" s="1"/>
  <c r="AB302" i="1" s="1"/>
  <c r="AA3" i="1"/>
  <c r="AA301" i="1" s="1"/>
  <c r="AA302" i="1" s="1"/>
  <c r="Z3" i="1"/>
  <c r="Z301" i="1" s="1"/>
  <c r="Z302" i="1" s="1"/>
  <c r="Y3" i="1"/>
  <c r="Y301" i="1" s="1"/>
  <c r="Y302" i="1" s="1"/>
  <c r="X3" i="1"/>
  <c r="X301" i="1" s="1"/>
  <c r="X302" i="1" s="1"/>
  <c r="W3" i="1"/>
  <c r="W301" i="1" s="1"/>
  <c r="W302" i="1" s="1"/>
  <c r="V3" i="1"/>
  <c r="V301" i="1" s="1"/>
  <c r="V302" i="1" s="1"/>
  <c r="U3" i="1"/>
  <c r="U301" i="1" s="1"/>
  <c r="Q302" i="1" s="1"/>
  <c r="R302" i="1" l="1"/>
  <c r="S302" i="1"/>
  <c r="T302" i="1"/>
</calcChain>
</file>

<file path=xl/sharedStrings.xml><?xml version="1.0" encoding="utf-8"?>
<sst xmlns="http://schemas.openxmlformats.org/spreadsheetml/2006/main" count="2041" uniqueCount="413">
  <si>
    <t>participants' manual evaluation results (2 means subsumption, 1 means related, 0 means unrelated, blank means unsure)</t>
  </si>
  <si>
    <t>narrower concept</t>
  </si>
  <si>
    <t>broader concept</t>
  </si>
  <si>
    <t>context concept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</si>
  <si>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</si>
  <si>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</si>
  <si>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</si>
  <si>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</si>
  <si>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</si>
  <si>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</si>
  <si>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</si>
  <si>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</si>
  <si>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</si>
  <si>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</si>
  <si>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</si>
  <si>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</si>
  <si>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</si>
  <si>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subsumption</t>
  </si>
  <si>
    <t>related</t>
  </si>
  <si>
    <t>unrelated</t>
  </si>
  <si>
    <t>unsure</t>
  </si>
  <si>
    <t>summation</t>
  </si>
  <si>
    <t>sub&gt;1</t>
  </si>
  <si>
    <t>sub&gt;2</t>
  </si>
  <si>
    <t>sub&gt;3</t>
  </si>
  <si>
    <t>sub&gt;4</t>
  </si>
  <si>
    <t>sub&gt;5</t>
  </si>
  <si>
    <t>sub&gt;6</t>
  </si>
  <si>
    <t>sub&gt;7</t>
  </si>
  <si>
    <t>sub&gt;8</t>
  </si>
  <si>
    <t>sub&gt;9</t>
  </si>
  <si>
    <t>sub&gt;10</t>
  </si>
  <si>
    <t>sub&gt;11</t>
  </si>
  <si>
    <t>sub&gt;12</t>
  </si>
  <si>
    <t>sub&gt;13</t>
  </si>
  <si>
    <t>enterprise_architecture</t>
  </si>
  <si>
    <t>architecture</t>
  </si>
  <si>
    <t>antipatterns</t>
  </si>
  <si>
    <t>controlled_vocabulary</t>
  </si>
  <si>
    <t>artificial_intelligence</t>
  </si>
  <si>
    <t>corporate</t>
  </si>
  <si>
    <t>corporation</t>
  </si>
  <si>
    <t>postgresql</t>
  </si>
  <si>
    <t>database</t>
  </si>
  <si>
    <t>information_systems</t>
  </si>
  <si>
    <t>rom</t>
  </si>
  <si>
    <t>learning</t>
  </si>
  <si>
    <t>education</t>
  </si>
  <si>
    <t>return</t>
  </si>
  <si>
    <t>electronic_commerce</t>
  </si>
  <si>
    <t>optimize</t>
  </si>
  <si>
    <t>embedded_system</t>
  </si>
  <si>
    <t>back</t>
  </si>
  <si>
    <t>ergonomics</t>
  </si>
  <si>
    <t>downlink</t>
  </si>
  <si>
    <t>hci</t>
  </si>
  <si>
    <t>method</t>
  </si>
  <si>
    <t>human</t>
  </si>
  <si>
    <t>human_factors</t>
  </si>
  <si>
    <t>risk</t>
  </si>
  <si>
    <t>informationsmarkt</t>
  </si>
  <si>
    <t>information_retrieval</t>
  </si>
  <si>
    <t>retrieval_effectiveness</t>
  </si>
  <si>
    <t>precision</t>
  </si>
  <si>
    <t>child</t>
  </si>
  <si>
    <t>ir</t>
  </si>
  <si>
    <t>lanka</t>
  </si>
  <si>
    <t>sri_lanka</t>
  </si>
  <si>
    <t>nonmonotonic</t>
  </si>
  <si>
    <t>logic</t>
  </si>
  <si>
    <t>article</t>
  </si>
  <si>
    <t>machine_learning</t>
  </si>
  <si>
    <t>kernel_machines</t>
  </si>
  <si>
    <t>process_modeling</t>
  </si>
  <si>
    <t>modeling</t>
  </si>
  <si>
    <t>user_profiling</t>
  </si>
  <si>
    <t>collaborative_modeling</t>
  </si>
  <si>
    <t>diss</t>
  </si>
  <si>
    <t>modelling</t>
  </si>
  <si>
    <t>numerical_simulation</t>
  </si>
  <si>
    <t>cybersecurity</t>
  </si>
  <si>
    <t>business_process_management</t>
  </si>
  <si>
    <t>knowledge_modelling</t>
  </si>
  <si>
    <t>gaussian_processes</t>
  </si>
  <si>
    <t>search</t>
  </si>
  <si>
    <t>www_search</t>
  </si>
  <si>
    <t>hits</t>
  </si>
  <si>
    <t>learning_to_rank</t>
  </si>
  <si>
    <t>reading_group</t>
  </si>
  <si>
    <t>click</t>
  </si>
  <si>
    <t>implicit_feedback</t>
  </si>
  <si>
    <t>forecast</t>
  </si>
  <si>
    <t>simulation</t>
  </si>
  <si>
    <t>astronomy</t>
  </si>
  <si>
    <t>product</t>
  </si>
  <si>
    <t>software_tool</t>
  </si>
  <si>
    <t>software_engineering</t>
  </si>
  <si>
    <t>graphviz</t>
  </si>
  <si>
    <t>visualization</t>
  </si>
  <si>
    <t>graph</t>
  </si>
  <si>
    <t>medizingeschichte</t>
  </si>
  <si>
    <t>analysis</t>
  </si>
  <si>
    <t>mode</t>
  </si>
  <si>
    <t>logfile</t>
  </si>
  <si>
    <t>network_analysis</t>
  </si>
  <si>
    <t>flowchart</t>
  </si>
  <si>
    <t>three</t>
  </si>
  <si>
    <t>principal</t>
  </si>
  <si>
    <t>business_processes</t>
  </si>
  <si>
    <t>business</t>
  </si>
  <si>
    <t>game_theory</t>
  </si>
  <si>
    <t>invest</t>
  </si>
  <si>
    <t>business_information</t>
  </si>
  <si>
    <t>business_model</t>
  </si>
  <si>
    <t>cycle</t>
  </si>
  <si>
    <t>chaos</t>
  </si>
  <si>
    <t>randomness</t>
  </si>
  <si>
    <t>multi_label</t>
  </si>
  <si>
    <t>classification</t>
  </si>
  <si>
    <t>hierarchy</t>
  </si>
  <si>
    <t>multiclass</t>
  </si>
  <si>
    <t>sigir</t>
  </si>
  <si>
    <t>text_classification</t>
  </si>
  <si>
    <t>health</t>
  </si>
  <si>
    <t>data_mining</t>
  </si>
  <si>
    <t>semantic</t>
  </si>
  <si>
    <t>weka</t>
  </si>
  <si>
    <t>internet</t>
  </si>
  <si>
    <t>factor_analysis</t>
  </si>
  <si>
    <t>infant</t>
  </si>
  <si>
    <t>genetic</t>
  </si>
  <si>
    <t>rate</t>
  </si>
  <si>
    <t>flickr</t>
  </si>
  <si>
    <t>folksonomy</t>
  </si>
  <si>
    <t>tags</t>
  </si>
  <si>
    <t>emergent_semantics</t>
  </si>
  <si>
    <t>application</t>
  </si>
  <si>
    <t>identity</t>
  </si>
  <si>
    <t>model</t>
  </si>
  <si>
    <t>information_theory</t>
  </si>
  <si>
    <t>web</t>
  </si>
  <si>
    <t>ontology</t>
  </si>
  <si>
    <t>semantic_web</t>
  </si>
  <si>
    <t>algorithm</t>
  </si>
  <si>
    <t>tool</t>
  </si>
  <si>
    <t>of</t>
  </si>
  <si>
    <t>linux</t>
  </si>
  <si>
    <t>dl</t>
  </si>
  <si>
    <t>logic_programming</t>
  </si>
  <si>
    <t>explanation</t>
  </si>
  <si>
    <t>metabolism</t>
  </si>
  <si>
    <t>magnetic_resonance_imaging</t>
  </si>
  <si>
    <t>detection</t>
  </si>
  <si>
    <t>designresearch</t>
  </si>
  <si>
    <t>methodology</t>
  </si>
  <si>
    <t>research_methodology</t>
  </si>
  <si>
    <t>management</t>
  </si>
  <si>
    <t>kinetic</t>
  </si>
  <si>
    <t>data</t>
  </si>
  <si>
    <t>itegpub</t>
  </si>
  <si>
    <t>middleware</t>
  </si>
  <si>
    <t>control</t>
  </si>
  <si>
    <t>aircraft</t>
  </si>
  <si>
    <t>noise</t>
  </si>
  <si>
    <t>white</t>
  </si>
  <si>
    <t>road</t>
  </si>
  <si>
    <t>philosophy_of_science</t>
  </si>
  <si>
    <t>philosophy</t>
  </si>
  <si>
    <t>abstraction</t>
  </si>
  <si>
    <t>metaphysics</t>
  </si>
  <si>
    <t>foreign_policy</t>
  </si>
  <si>
    <t>policy</t>
  </si>
  <si>
    <t>government</t>
  </si>
  <si>
    <t>agent</t>
  </si>
  <si>
    <t>problem_solving</t>
  </si>
  <si>
    <t>programming_languages</t>
  </si>
  <si>
    <t>technology</t>
  </si>
  <si>
    <t>research_methods</t>
  </si>
  <si>
    <t>scientific_method</t>
  </si>
  <si>
    <t>development</t>
  </si>
  <si>
    <t>robotics</t>
  </si>
  <si>
    <t>science</t>
  </si>
  <si>
    <t>test</t>
  </si>
  <si>
    <t>image</t>
  </si>
  <si>
    <t>social_network_analysis</t>
  </si>
  <si>
    <t>social_networks</t>
  </si>
  <si>
    <t>social_influence</t>
  </si>
  <si>
    <t>web2.0</t>
  </si>
  <si>
    <t>social_search</t>
  </si>
  <si>
    <t>kingdom</t>
  </si>
  <si>
    <t>social_software</t>
  </si>
  <si>
    <t>united_states</t>
  </si>
  <si>
    <t>united_kingdom</t>
  </si>
  <si>
    <t>springer</t>
  </si>
  <si>
    <t>software_design</t>
  </si>
  <si>
    <t>book</t>
  </si>
  <si>
    <t>process</t>
  </si>
  <si>
    <t>reverse_engineering</t>
  </si>
  <si>
    <t>communication</t>
  </si>
  <si>
    <t>taxonomy</t>
  </si>
  <si>
    <t>projekt_bui</t>
  </si>
  <si>
    <t>usability</t>
  </si>
  <si>
    <t>homepage</t>
  </si>
  <si>
    <t>web_usability</t>
  </si>
  <si>
    <t>usability_testing</t>
  </si>
  <si>
    <t>xslt</t>
  </si>
  <si>
    <t>xml</t>
  </si>
  <si>
    <t>xsl</t>
  </si>
  <si>
    <t>xml_schema</t>
  </si>
  <si>
    <t>conceptual_analysis</t>
  </si>
  <si>
    <t>sequence_analysis</t>
  </si>
  <si>
    <t>formal</t>
  </si>
  <si>
    <t>ecosystem</t>
  </si>
  <si>
    <t>cognition</t>
  </si>
  <si>
    <t>attention</t>
  </si>
  <si>
    <t>joomla</t>
  </si>
  <si>
    <t>blogging</t>
  </si>
  <si>
    <t>rule_language</t>
  </si>
  <si>
    <t>design_process</t>
  </si>
  <si>
    <t>asymmetry</t>
  </si>
  <si>
    <t>nonfiction</t>
  </si>
  <si>
    <t>page</t>
  </si>
  <si>
    <t>web_page</t>
  </si>
  <si>
    <t>spam_filter</t>
  </si>
  <si>
    <t>colon_classification</t>
  </si>
  <si>
    <t>videoconferencing</t>
  </si>
  <si>
    <t>cloud_services</t>
  </si>
  <si>
    <t>cloud_computing</t>
  </si>
  <si>
    <t>online_services</t>
  </si>
  <si>
    <t>dm</t>
  </si>
  <si>
    <t>kdd</t>
  </si>
  <si>
    <t>opengovernment</t>
  </si>
  <si>
    <t>data_structures</t>
  </si>
  <si>
    <t>language</t>
  </si>
  <si>
    <t>discourse_analysis</t>
  </si>
  <si>
    <t>linguistics</t>
  </si>
  <si>
    <t>parallel_algorithms</t>
  </si>
  <si>
    <t>distributed_computing</t>
  </si>
  <si>
    <t>mpi</t>
  </si>
  <si>
    <t>cuda</t>
  </si>
  <si>
    <t>hardware</t>
  </si>
  <si>
    <t>evolutionary_algorithms</t>
  </si>
  <si>
    <t>narrow</t>
  </si>
  <si>
    <t>environmental_policy</t>
  </si>
  <si>
    <t>decision_theory</t>
  </si>
  <si>
    <t>javascript</t>
  </si>
  <si>
    <t>html5</t>
  </si>
  <si>
    <t>html</t>
  </si>
  <si>
    <t>rsa</t>
  </si>
  <si>
    <t>digital_signatures</t>
  </si>
  <si>
    <t>feminist</t>
  </si>
  <si>
    <t>ba</t>
  </si>
  <si>
    <t>interoperability</t>
  </si>
  <si>
    <t>computer_architecture</t>
  </si>
  <si>
    <t>cli</t>
  </si>
  <si>
    <t>dependency_injection</t>
  </si>
  <si>
    <t>internet_explorer</t>
  </si>
  <si>
    <t>bash</t>
  </si>
  <si>
    <t>sqlite</t>
  </si>
  <si>
    <t>mobile_devices</t>
  </si>
  <si>
    <t>drag_drop</t>
  </si>
  <si>
    <t>autocomplete</t>
  </si>
  <si>
    <t>association_rules</t>
  </si>
  <si>
    <t>knowledge_representation</t>
  </si>
  <si>
    <t>itemset</t>
  </si>
  <si>
    <t>content_negotiation</t>
  </si>
  <si>
    <t>least_squares</t>
  </si>
  <si>
    <t>debian</t>
  </si>
  <si>
    <t>ilp</t>
  </si>
  <si>
    <t>kernel_methods</t>
  </si>
  <si>
    <t>functional_programming</t>
  </si>
  <si>
    <t>chemistry</t>
  </si>
  <si>
    <t>cortex</t>
  </si>
  <si>
    <t>network</t>
  </si>
  <si>
    <t>mathematics</t>
  </si>
  <si>
    <t>structure</t>
  </si>
  <si>
    <t>mechanic</t>
  </si>
  <si>
    <t>critical_theory</t>
  </si>
  <si>
    <t>mediation</t>
  </si>
  <si>
    <t>post_structuralism</t>
  </si>
  <si>
    <t>crosslingual</t>
  </si>
  <si>
    <t>kal_design_research</t>
  </si>
  <si>
    <t>sensor_networks</t>
  </si>
  <si>
    <t>alloy</t>
  </si>
  <si>
    <t>model_checking</t>
  </si>
  <si>
    <t>formal_methods</t>
  </si>
  <si>
    <t>model_transformation</t>
  </si>
  <si>
    <t>bilateral</t>
  </si>
  <si>
    <t>low_level</t>
  </si>
  <si>
    <t>periodic_table</t>
  </si>
  <si>
    <t>nets</t>
  </si>
  <si>
    <t>petri_nets</t>
  </si>
  <si>
    <t>nationalism</t>
  </si>
  <si>
    <t>natural_language_processing</t>
  </si>
  <si>
    <t>order_structures</t>
  </si>
  <si>
    <t>reasoning</t>
  </si>
  <si>
    <t>geocaching</t>
  </si>
  <si>
    <t>regression_analysis</t>
  </si>
  <si>
    <t>webculture</t>
  </si>
  <si>
    <t>social_media</t>
  </si>
  <si>
    <t>world_wide_web</t>
  </si>
  <si>
    <t>microformat</t>
  </si>
  <si>
    <t>code_generation</t>
  </si>
  <si>
    <t>software_development</t>
  </si>
  <si>
    <t>mba</t>
  </si>
  <si>
    <t>strategy</t>
  </si>
  <si>
    <t>planning</t>
  </si>
  <si>
    <t>colon</t>
  </si>
  <si>
    <t>arab</t>
  </si>
  <si>
    <t>end</t>
  </si>
  <si>
    <t>topography</t>
  </si>
  <si>
    <t>experience_design</t>
  </si>
  <si>
    <t>homework</t>
  </si>
  <si>
    <t>homepage_usability</t>
  </si>
  <si>
    <t>wikileaks</t>
  </si>
  <si>
    <t>xpath</t>
  </si>
  <si>
    <t>query_language</t>
  </si>
  <si>
    <t>w3c_recommendation</t>
  </si>
  <si>
    <t>xquery</t>
  </si>
  <si>
    <t>dtd</t>
  </si>
  <si>
    <t>data_formats</t>
  </si>
  <si>
    <t>xsd</t>
  </si>
  <si>
    <t>rdf_schema</t>
  </si>
  <si>
    <t>mpeg_21</t>
  </si>
  <si>
    <t>mpeg_4</t>
  </si>
  <si>
    <t>evaluation</t>
  </si>
  <si>
    <t>accessibility</t>
  </si>
  <si>
    <t>care</t>
  </si>
  <si>
    <t>connector</t>
  </si>
  <si>
    <t>information_architecture</t>
  </si>
  <si>
    <t>web_architecture</t>
  </si>
  <si>
    <t>engineering_education</t>
  </si>
  <si>
    <t>high_school</t>
  </si>
  <si>
    <t>haifa_games_course</t>
  </si>
  <si>
    <t>blended_learning</t>
  </si>
  <si>
    <t>ipad</t>
  </si>
  <si>
    <t>adult_education</t>
  </si>
  <si>
    <t>e_commerce</t>
  </si>
  <si>
    <t>mining</t>
  </si>
  <si>
    <t>service</t>
  </si>
  <si>
    <t>library</t>
  </si>
  <si>
    <t>drug</t>
  </si>
  <si>
    <t>programming</t>
  </si>
  <si>
    <t>activity</t>
  </si>
  <si>
    <t>genetic_algorithms</t>
  </si>
  <si>
    <t>web_information_retrieval</t>
  </si>
  <si>
    <t>interaction_design</t>
  </si>
  <si>
    <t>and</t>
  </si>
  <si>
    <t>study</t>
  </si>
  <si>
    <t>agent_based</t>
  </si>
  <si>
    <t>user_modeling</t>
  </si>
  <si>
    <t>user_profile</t>
  </si>
  <si>
    <t>information</t>
  </si>
  <si>
    <t>retrieval</t>
  </si>
  <si>
    <t>speech</t>
  </si>
  <si>
    <t>lognormal</t>
  </si>
  <si>
    <t>surface</t>
  </si>
  <si>
    <t>recommender</t>
  </si>
  <si>
    <t>metacognitive</t>
  </si>
  <si>
    <t>bpm</t>
  </si>
  <si>
    <t>triangulation</t>
  </si>
  <si>
    <t>waterfall</t>
  </si>
  <si>
    <t>behaviour</t>
  </si>
  <si>
    <t>browse</t>
  </si>
  <si>
    <t>engine</t>
  </si>
  <si>
    <t>semantic_search</t>
  </si>
  <si>
    <t>input</t>
  </si>
  <si>
    <t>md</t>
  </si>
  <si>
    <t>input_output</t>
  </si>
  <si>
    <t>fe</t>
  </si>
  <si>
    <t>software</t>
  </si>
  <si>
    <t>graph_drawing</t>
  </si>
  <si>
    <t>graph_visualization</t>
  </si>
  <si>
    <t>draw</t>
  </si>
  <si>
    <t>all predicted pairs</t>
  </si>
  <si>
    <t>1 marks as subsumption</t>
  </si>
  <si>
    <t>2 marks as subsumption</t>
  </si>
  <si>
    <t>3 marks as subsumption</t>
  </si>
  <si>
    <t>4 marks as subsumption</t>
  </si>
  <si>
    <t>5 marks as subsumption</t>
  </si>
  <si>
    <t>6 marks as subsumption</t>
  </si>
  <si>
    <t>7 marks as subsumption</t>
  </si>
  <si>
    <t>dbpedia-ada-ct0.6</t>
  </si>
  <si>
    <t>dbpedia-svm-ct6</t>
  </si>
  <si>
    <t>acm-ada-ct0.6</t>
  </si>
  <si>
    <t>acm-svm-ct6</t>
  </si>
  <si>
    <t>all</t>
  </si>
  <si>
    <t>[percentages]</t>
  </si>
  <si>
    <t>True as at least 1 votes</t>
  </si>
  <si>
    <t>True as at least 2 votes</t>
  </si>
  <si>
    <t>True as at least 3 votes</t>
  </si>
  <si>
    <t>True as at least 4 votes</t>
  </si>
  <si>
    <t>True as at least 5 votes</t>
  </si>
  <si>
    <t>True as at least 6 votes</t>
  </si>
  <si>
    <t>True as at least 7 votes</t>
  </si>
  <si>
    <t>Overall</t>
  </si>
  <si>
    <t>DBpedia+SVM</t>
  </si>
  <si>
    <t>DBpedia+AdaBoost</t>
  </si>
  <si>
    <t>CCS+SVM</t>
  </si>
  <si>
    <t>CCS+AdaBoost</t>
  </si>
  <si>
    <t>p1 yz</t>
  </si>
  <si>
    <t>p2 kl</t>
  </si>
  <si>
    <t>p3 sde</t>
  </si>
  <si>
    <t>p4 do</t>
  </si>
  <si>
    <t>p5 xuan</t>
  </si>
  <si>
    <t>p6 yd</t>
  </si>
  <si>
    <t>p7 vn</t>
  </si>
  <si>
    <t>p8 fc</t>
  </si>
  <si>
    <t>p9 huda</t>
  </si>
  <si>
    <t>p10 xia</t>
  </si>
  <si>
    <t>p11 saad</t>
  </si>
  <si>
    <t>p12 gp</t>
  </si>
  <si>
    <t>p13 qi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</si>
</sst>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5" x14ac:knownFonts="1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 applyAlignment="1"/>
    <xf numFmtId="0" fontId="2" fillId="0" borderId="0" xfId="0" applyFont="1" applyAlignment="1"/>
    <xf numFmtId="0" fontId="2" fillId="0" borderId="0" xfId="0" applyFont="1" applyBorder="1" applyAlignment="1"/>
    <xf numFmtId="0" fontId="0" fillId="0" borderId="0" xfId="0" applyBorder="1">
      <alignment vertical="center"/>
    </xf>
    <xf numFmtId="0" fontId="3" fillId="0" borderId="0" xfId="0" applyFont="1" applyBorder="1" applyAlignment="1"/>
    <xf numFmtId="0" fontId="0" fillId="0" borderId="0" xfId="0" applyFill="1" applyBorder="1">
      <alignment vertical="center"/>
    </xf>
    <xf numFmtId="0" fontId="0" fillId="0" borderId="0" xfId="0" applyAlignment="1"/>
    <xf numFmtId="0" fontId="3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 applyBorder="1" applyAlignment="1"/>
    <xf numFmtId="0" fontId="1" fillId="0" borderId="1" xfId="0" applyFont="1" applyBorder="1" applyAlignment="1"/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3" fillId="0" borderId="0" xfId="0" applyFont="1" applyAlignment="1"/>
    <xf numFmtId="0" fontId="0" fillId="0" borderId="2" xfId="0" applyFill="1" applyBorder="1">
      <alignment vertical="center"/>
    </xf>
    <xf numFmtId="0" fontId="0" fillId="0" borderId="2" xfId="0" applyBorder="1" applyAlignment="1"/>
    <xf numFmtId="0" fontId="0" fillId="0" borderId="0" xfId="0" applyAlignment="1">
      <alignment horizontal="left"/>
    </xf>
    <xf numFmtId="0" fontId="0" fillId="0" borderId="0" xfId="0" applyBorder="1" applyAlignment="1">
      <alignment horizontal="left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/>
  <colors>
    <mruColors>
      <color rgb="FFEE7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zh-CN" sz="1400" baseline="0"/>
              <a:t>Accruracy of the Enriched Subsumption Relations</a:t>
            </a:r>
            <a:endParaRPr lang="en-GB" altLang="zh-CN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accuracy!$C$8</c:f>
              <c:strCache>
                <c:ptCount val="1"/>
                <c:pt idx="0">
                  <c:v>True as at least 1 votes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accuracy!$C$9:$C$13</c:f>
              <c:numCache>
                <c:formatCode>0.0%</c:formatCode>
                <c:ptCount val="5"/>
                <c:pt idx="0">
                  <c:v>0.95302013422818799</c:v>
                </c:pt>
                <c:pt idx="1">
                  <c:v>0.80769230769230804</c:v>
                </c:pt>
                <c:pt idx="2">
                  <c:v>0.94444444444444398</c:v>
                </c:pt>
                <c:pt idx="3">
                  <c:v>0.97777777777777797</c:v>
                </c:pt>
                <c:pt idx="4">
                  <c:v>0.97499999999999998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FA-43F7-87FE-1B3C845A1B52}"/>
            </c:ext>
          </c:extLst>
        </c:ser>
        <c:ser>
          <c:idx val="2"/>
          <c:order val="2"/>
          <c:tx>
            <c:strRef>
              <c:f>accuracy!$D$8</c:f>
              <c:strCache>
                <c:ptCount val="1"/>
                <c:pt idx="0">
                  <c:v>True as at least 2 votes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accuracy!$D$9:$D$13</c:f>
              <c:numCache>
                <c:formatCode>0.0%</c:formatCode>
                <c:ptCount val="5"/>
                <c:pt idx="0">
                  <c:v>0.84899328859060397</c:v>
                </c:pt>
                <c:pt idx="1">
                  <c:v>0.67307692307692302</c:v>
                </c:pt>
                <c:pt idx="2">
                  <c:v>0.844444444444444</c:v>
                </c:pt>
                <c:pt idx="3">
                  <c:v>0.8</c:v>
                </c:pt>
                <c:pt idx="4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FA-43F7-87FE-1B3C845A1B52}"/>
            </c:ext>
          </c:extLst>
        </c:ser>
        <c:ser>
          <c:idx val="3"/>
          <c:order val="3"/>
          <c:tx>
            <c:strRef>
              <c:f>accuracy!$E$8</c:f>
              <c:strCache>
                <c:ptCount val="1"/>
                <c:pt idx="0">
                  <c:v>True as at least 3 votes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accuracy!$E$9:$E$13</c:f>
              <c:numCache>
                <c:formatCode>0.0%</c:formatCode>
                <c:ptCount val="5"/>
                <c:pt idx="0">
                  <c:v>0.74496644295301995</c:v>
                </c:pt>
                <c:pt idx="1">
                  <c:v>0.55769230769230804</c:v>
                </c:pt>
                <c:pt idx="2">
                  <c:v>0.7</c:v>
                </c:pt>
                <c:pt idx="3">
                  <c:v>0.71111111111111103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FA-43F7-87FE-1B3C845A1B52}"/>
            </c:ext>
          </c:extLst>
        </c:ser>
        <c:ser>
          <c:idx val="4"/>
          <c:order val="4"/>
          <c:tx>
            <c:strRef>
              <c:f>accuracy!$F$8</c:f>
              <c:strCache>
                <c:ptCount val="1"/>
                <c:pt idx="0">
                  <c:v>True as at least 4 votes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accuracy!$F$9:$F$13</c:f>
              <c:numCache>
                <c:formatCode>0.0%</c:formatCode>
                <c:ptCount val="5"/>
                <c:pt idx="0">
                  <c:v>0.66442953020134199</c:v>
                </c:pt>
                <c:pt idx="1">
                  <c:v>0.480769230769231</c:v>
                </c:pt>
                <c:pt idx="2">
                  <c:v>0.61111111111111105</c:v>
                </c:pt>
                <c:pt idx="3">
                  <c:v>0.62222222222222201</c:v>
                </c:pt>
                <c:pt idx="4">
                  <c:v>0.83750000000000002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FA-43F7-87FE-1B3C845A1B52}"/>
            </c:ext>
          </c:extLst>
        </c:ser>
        <c:ser>
          <c:idx val="5"/>
          <c:order val="5"/>
          <c:tx>
            <c:strRef>
              <c:f>accuracy!$G$8</c:f>
              <c:strCache>
                <c:ptCount val="1"/>
                <c:pt idx="0">
                  <c:v>True as at least 5 votes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FA-43F7-87FE-1B3C845A1B52}"/>
                </c:ext>
              </c:extLst>
            </c:dLbl>
            <c:dLbl>
              <c:idx val="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FA-43F7-87FE-1B3C845A1B52}"/>
                </c:ext>
              </c:extLst>
            </c:dLbl>
            <c:dLbl>
              <c:idx val="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FA-43F7-87FE-1B3C845A1B52}"/>
                </c:ext>
              </c:extLst>
            </c:dLbl>
            <c:dLbl>
              <c:idx val="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FA-43F7-87FE-1B3C845A1B5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FA-43F7-87FE-1B3C845A1B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accuracy!$G$9:$G$13</c:f>
              <c:numCache>
                <c:formatCode>0.0%</c:formatCode>
                <c:ptCount val="5"/>
                <c:pt idx="0">
                  <c:v>0.53355704697986595</c:v>
                </c:pt>
                <c:pt idx="1">
                  <c:v>0.375</c:v>
                </c:pt>
                <c:pt idx="2">
                  <c:v>0.52222222222222203</c:v>
                </c:pt>
                <c:pt idx="3">
                  <c:v>0.51111111111111096</c:v>
                </c:pt>
                <c:pt idx="4">
                  <c:v>0.66249999999999998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DFA-43F7-87FE-1B3C845A1B52}"/>
            </c:ext>
          </c:extLst>
        </c:ser>
        <c:ser>
          <c:idx val="6"/>
          <c:order val="6"/>
          <c:tx>
            <c:strRef>
              <c:f>accuracy!$H$8</c:f>
              <c:strCache>
                <c:ptCount val="1"/>
                <c:pt idx="0">
                  <c:v>True as at least 6 votes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dot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accuracy!$H$9:$H$13</c:f>
              <c:numCache>
                <c:formatCode>0.0%</c:formatCode>
                <c:ptCount val="5"/>
                <c:pt idx="0">
                  <c:v>0.389261744966443</c:v>
                </c:pt>
                <c:pt idx="1">
                  <c:v>0.25961538461538503</c:v>
                </c:pt>
                <c:pt idx="2">
                  <c:v>0.43333333333333302</c:v>
                </c:pt>
                <c:pt idx="3">
                  <c:v>0.37777777777777799</c:v>
                </c:pt>
                <c:pt idx="4">
                  <c:v>0.4375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DFA-43F7-87FE-1B3C845A1B52}"/>
            </c:ext>
          </c:extLst>
        </c:ser>
        <c:ser>
          <c:idx val="7"/>
          <c:order val="7"/>
          <c:tx>
            <c:strRef>
              <c:f>accuracy!$I$8</c:f>
              <c:strCache>
                <c:ptCount val="1"/>
                <c:pt idx="0">
                  <c:v>True as at least 7 votes</c:v>
                </c:pt>
              </c:strCache>
            </c:strRef>
          </c:tx>
          <c:spPr>
            <a:ln w="28575" cap="rnd">
              <a:solidFill>
                <a:srgbClr val="EE72DF"/>
              </a:solidFill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accuracy!$I$9:$I$13</c:f>
              <c:numCache>
                <c:formatCode>0.0%</c:formatCode>
                <c:ptCount val="5"/>
                <c:pt idx="0">
                  <c:v>0.28523489932885898</c:v>
                </c:pt>
                <c:pt idx="1">
                  <c:v>0.19230769230769201</c:v>
                </c:pt>
                <c:pt idx="2">
                  <c:v>0.32222222222222202</c:v>
                </c:pt>
                <c:pt idx="3">
                  <c:v>0.31111111111111101</c:v>
                </c:pt>
                <c:pt idx="4">
                  <c:v>0.28749999999999998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DFA-43F7-87FE-1B3C845A1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8430504"/>
        <c:axId val="20786439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accuracy!$B$8</c15:sqref>
                        </c15:formulaRef>
                      </c:ext>
                    </c:extLst>
                    <c:strCache>
                      <c:ptCount val="1"/>
                      <c:pt idx="0">
                        <c:v>all predicted pairs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accuracy!$B$9:$B$13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298</c:v>
                      </c:pt>
                      <c:pt idx="1">
                        <c:v>104</c:v>
                      </c:pt>
                      <c:pt idx="2">
                        <c:v>90</c:v>
                      </c:pt>
                      <c:pt idx="3">
                        <c:v>45</c:v>
                      </c:pt>
                      <c:pt idx="4">
                        <c:v>80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7DFA-43F7-87FE-1B3C845A1B52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DFA-43F7-87FE-1B3C845A1B52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DFA-43F7-87FE-1B3C845A1B52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DFA-43F7-87FE-1B3C845A1B52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DFA-43F7-87FE-1B3C845A1B52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DFA-43F7-87FE-1B3C845A1B52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DFA-43F7-87FE-1B3C845A1B52}"/>
                  </c:ext>
                </c:extLst>
              </c15:ser>
            </c15:filteredLineSeries>
          </c:ext>
        </c:extLst>
      </c:lineChart>
      <c:catAx>
        <c:axId val="2118430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8643960"/>
        <c:crosses val="autoZero"/>
        <c:auto val="1"/>
        <c:lblAlgn val="ctr"/>
        <c:lblOffset val="100"/>
        <c:noMultiLvlLbl val="0"/>
      </c:catAx>
      <c:valAx>
        <c:axId val="2078643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843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428883</xdr:colOff>
      <xdr:row>16</xdr:row>
      <xdr:rowOff>161924</xdr:rowOff>
    </xdr:from>
    <xdr:to>
      <xdr:col>6</xdr:col>
      <xdr:colOff>1383926</xdr:colOff>
      <xdr:row>37</xdr:row>
      <xdr:rowOff>65210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302"/>
  <sheetViews>
    <sheetView tabSelected="1" zoomScaleNormal="100" workbookViewId="0">
      <selection activeCell="C13" sqref="C13"/>
    </sheetView>
  </sheetViews>
  <sheetFormatPr defaultColWidth="8.75" defaultRowHeight="14.25" x14ac:dyDescent="0.2"/>
  <cols>
    <col min="1" max="1" width="28.875" customWidth="1"/>
    <col min="2" max="2" width="27.375" customWidth="1"/>
    <col min="3" max="3" width="27.25" customWidth="1"/>
    <col min="4" max="7" width="8.625" customWidth="1"/>
    <col min="8" max="10" width="8.625" style="7" customWidth="1"/>
    <col min="11" max="11" width="8.625" style="10" customWidth="1"/>
    <col min="12" max="16" width="8.625" style="7" customWidth="1"/>
    <col min="17" max="17" width="12.375" style="7" customWidth="1"/>
    <col min="18" max="18" width="7.25" customWidth="1"/>
    <col min="19" max="19" width="9.25" customWidth="1"/>
  </cols>
  <sheetData>
    <row r="1" spans="1:34" x14ac:dyDescent="0.2">
      <c r="D1" s="20" t="s">
        <v>0</v>
      </c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34" x14ac:dyDescent="0.2">
      <c r="A2" s="1" t="s">
        <v>1</v>
      </c>
      <c r="B2" s="1" t="s">
        <v>2</v>
      </c>
      <c r="C2" s="11" t="s">
        <v>3</v>
      </c>
      <c r="D2" s="1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3" t="s">
        <v>11</v>
      </c>
      <c r="L2" s="2" t="s">
        <v>12</v>
      </c>
      <c r="M2" s="2" t="s">
        <v>13</v>
      </c>
      <c r="N2" s="2" t="s">
        <v>14</v>
      </c>
      <c r="O2" s="2" t="s">
        <v>15</v>
      </c>
      <c r="P2" s="2" t="s">
        <v>16</v>
      </c>
      <c r="Q2" s="14" t="s">
        <v>17</v>
      </c>
      <c r="R2" t="s">
        <v>18</v>
      </c>
      <c r="S2" s="4" t="s">
        <v>19</v>
      </c>
      <c r="T2" s="15" t="s">
        <v>20</v>
      </c>
      <c r="U2" s="16" t="s">
        <v>21</v>
      </c>
      <c r="V2" s="6" t="s">
        <v>22</v>
      </c>
      <c r="W2" s="6" t="s">
        <v>23</v>
      </c>
      <c r="X2" s="6" t="s">
        <v>24</v>
      </c>
      <c r="Y2" s="6" t="s">
        <v>25</v>
      </c>
      <c r="Z2" s="6" t="s">
        <v>26</v>
      </c>
      <c r="AA2" s="6" t="s">
        <v>27</v>
      </c>
      <c r="AB2" s="6" t="s">
        <v>28</v>
      </c>
      <c r="AC2" s="6" t="s">
        <v>29</v>
      </c>
      <c r="AD2" s="6" t="s">
        <v>30</v>
      </c>
      <c r="AE2" s="6" t="s">
        <v>31</v>
      </c>
      <c r="AF2" s="6" t="s">
        <v>32</v>
      </c>
      <c r="AG2" s="6" t="s">
        <v>33</v>
      </c>
      <c r="AH2" s="6" t="s">
        <v>34</v>
      </c>
    </row>
    <row r="3" spans="1:34" x14ac:dyDescent="0.2">
      <c r="A3" s="12" t="s">
        <v>35</v>
      </c>
      <c r="B3" s="12" t="s">
        <v>36</v>
      </c>
      <c r="C3" s="13" t="s">
        <v>36</v>
      </c>
      <c r="D3" s="18">
        <v>2</v>
      </c>
      <c r="E3" s="18">
        <v>0</v>
      </c>
      <c r="F3" s="18">
        <v>2</v>
      </c>
      <c r="G3" s="18">
        <v>2</v>
      </c>
      <c r="H3" s="18">
        <v>2</v>
      </c>
      <c r="I3" s="18">
        <v>1</v>
      </c>
      <c r="J3" s="19">
        <v>2</v>
      </c>
      <c r="K3" s="18">
        <v>2</v>
      </c>
      <c r="L3" s="18">
        <v>1</v>
      </c>
      <c r="M3" s="18">
        <v>2</v>
      </c>
      <c r="N3" s="18">
        <v>2</v>
      </c>
      <c r="O3" s="18">
        <v>2</v>
      </c>
      <c r="P3" s="18">
        <v>2</v>
      </c>
      <c r="Q3" s="17">
        <v>10</v>
      </c>
      <c r="R3">
        <v>2</v>
      </c>
      <c r="S3">
        <v>1</v>
      </c>
      <c r="T3">
        <v>0</v>
      </c>
      <c r="U3" s="14">
        <f>SUM(Q3:T3)</f>
        <v>13</v>
      </c>
      <c r="V3" t="b">
        <f>Q3&gt;=1</f>
        <v>1</v>
      </c>
      <c r="W3" t="b">
        <f>Q3&gt;=2</f>
        <v>1</v>
      </c>
      <c r="X3" t="b">
        <f>Q3&gt;=3</f>
        <v>1</v>
      </c>
      <c r="Y3" t="b">
        <f>Q3&gt;=4</f>
        <v>1</v>
      </c>
      <c r="Z3" t="b">
        <f>Q3&gt;=5</f>
        <v>1</v>
      </c>
      <c r="AA3" t="b">
        <f>Q3&gt;=6</f>
        <v>1</v>
      </c>
      <c r="AB3" t="b">
        <f>Q3&gt;=7</f>
        <v>1</v>
      </c>
      <c r="AC3" t="b">
        <f>Q3&gt;=8</f>
        <v>1</v>
      </c>
      <c r="AD3" t="b">
        <f>Q3&gt;=9</f>
        <v>1</v>
      </c>
      <c r="AE3" t="b">
        <f>Q3&gt;=10</f>
        <v>1</v>
      </c>
      <c r="AF3" t="b">
        <f>Q3&gt;=11</f>
        <v>0</v>
      </c>
      <c r="AG3" t="b">
        <f>Q3&gt;=12</f>
        <v>0</v>
      </c>
      <c r="AH3" t="b">
        <f>Q3&gt;=13</f>
        <v>0</v>
      </c>
    </row>
    <row r="4" spans="1:34" x14ac:dyDescent="0.2">
      <c r="A4" s="12" t="s">
        <v>37</v>
      </c>
      <c r="B4" s="12" t="s">
        <v>36</v>
      </c>
      <c r="C4" s="13" t="s">
        <v>36</v>
      </c>
      <c r="D4" s="18"/>
      <c r="E4" s="18">
        <v>0</v>
      </c>
      <c r="F4" s="18">
        <v>1</v>
      </c>
      <c r="G4" s="18">
        <v>0</v>
      </c>
      <c r="H4" s="18">
        <v>2</v>
      </c>
      <c r="I4" s="18">
        <v>0</v>
      </c>
      <c r="J4" s="19">
        <v>2</v>
      </c>
      <c r="K4" s="18">
        <v>0</v>
      </c>
      <c r="L4" s="18">
        <v>2</v>
      </c>
      <c r="M4" s="18">
        <v>1</v>
      </c>
      <c r="N4" s="18">
        <v>0</v>
      </c>
      <c r="O4" s="18">
        <v>2</v>
      </c>
      <c r="P4" s="18">
        <v>0</v>
      </c>
      <c r="Q4" s="17">
        <v>4</v>
      </c>
      <c r="R4">
        <v>2</v>
      </c>
      <c r="S4">
        <v>6</v>
      </c>
      <c r="T4">
        <v>1</v>
      </c>
      <c r="U4" s="14">
        <f t="shared" ref="U4:U67" si="0">SUM(Q4:T4)</f>
        <v>13</v>
      </c>
      <c r="V4" t="b">
        <f t="shared" ref="V4:V67" si="1">Q4&gt;=1</f>
        <v>1</v>
      </c>
      <c r="W4" t="b">
        <f t="shared" ref="W4:W67" si="2">Q4&gt;=2</f>
        <v>1</v>
      </c>
      <c r="X4" t="b">
        <f t="shared" ref="X4:X67" si="3">Q4&gt;=3</f>
        <v>1</v>
      </c>
      <c r="Y4" t="b">
        <f t="shared" ref="Y4:Y67" si="4">Q4&gt;=4</f>
        <v>1</v>
      </c>
      <c r="Z4" t="b">
        <f t="shared" ref="Z4:Z67" si="5">Q4&gt;=5</f>
        <v>0</v>
      </c>
      <c r="AA4" t="b">
        <f t="shared" ref="AA4:AA67" si="6">Q4&gt;=6</f>
        <v>0</v>
      </c>
      <c r="AB4" t="b">
        <f t="shared" ref="AB4:AB67" si="7">Q4&gt;=7</f>
        <v>0</v>
      </c>
      <c r="AC4" t="b">
        <f t="shared" ref="AC4:AC67" si="8">Q4&gt;=8</f>
        <v>0</v>
      </c>
      <c r="AD4" t="b">
        <f t="shared" ref="AD4:AD67" si="9">Q4&gt;=9</f>
        <v>0</v>
      </c>
      <c r="AE4" t="b">
        <f t="shared" ref="AE4:AE67" si="10">Q4&gt;=10</f>
        <v>0</v>
      </c>
      <c r="AF4" t="b">
        <f t="shared" ref="AF4:AF67" si="11">Q4&gt;=11</f>
        <v>0</v>
      </c>
      <c r="AG4" t="b">
        <f t="shared" ref="AG4:AG67" si="12">Q4&gt;=12</f>
        <v>0</v>
      </c>
      <c r="AH4" t="b">
        <f t="shared" ref="AH4:AH67" si="13">Q4&gt;=13</f>
        <v>0</v>
      </c>
    </row>
    <row r="5" spans="1:34" x14ac:dyDescent="0.2">
      <c r="A5" s="12" t="s">
        <v>38</v>
      </c>
      <c r="B5" s="12" t="s">
        <v>39</v>
      </c>
      <c r="C5" s="13" t="s">
        <v>39</v>
      </c>
      <c r="D5" s="18">
        <v>1</v>
      </c>
      <c r="E5" s="18">
        <v>0</v>
      </c>
      <c r="F5" s="18">
        <v>1</v>
      </c>
      <c r="G5" s="18">
        <v>0</v>
      </c>
      <c r="H5" s="18">
        <v>2</v>
      </c>
      <c r="I5" s="18">
        <v>0</v>
      </c>
      <c r="J5" s="19">
        <v>2</v>
      </c>
      <c r="K5" s="18">
        <v>0</v>
      </c>
      <c r="L5" s="18">
        <v>2</v>
      </c>
      <c r="M5" s="18">
        <v>1</v>
      </c>
      <c r="N5" s="18"/>
      <c r="O5" s="18"/>
      <c r="P5" s="18">
        <v>0</v>
      </c>
      <c r="Q5" s="17">
        <v>3</v>
      </c>
      <c r="R5">
        <v>3</v>
      </c>
      <c r="S5">
        <v>5</v>
      </c>
      <c r="T5">
        <v>2</v>
      </c>
      <c r="U5" s="14">
        <f t="shared" si="0"/>
        <v>13</v>
      </c>
      <c r="V5" t="b">
        <f t="shared" si="1"/>
        <v>1</v>
      </c>
      <c r="W5" t="b">
        <f t="shared" si="2"/>
        <v>1</v>
      </c>
      <c r="X5" t="b">
        <f t="shared" si="3"/>
        <v>1</v>
      </c>
      <c r="Y5" t="b">
        <f t="shared" si="4"/>
        <v>0</v>
      </c>
      <c r="Z5" t="b">
        <f t="shared" si="5"/>
        <v>0</v>
      </c>
      <c r="AA5" t="b">
        <f t="shared" si="6"/>
        <v>0</v>
      </c>
      <c r="AB5" t="b">
        <f t="shared" si="7"/>
        <v>0</v>
      </c>
      <c r="AC5" t="b">
        <f t="shared" si="8"/>
        <v>0</v>
      </c>
      <c r="AD5" t="b">
        <f t="shared" si="9"/>
        <v>0</v>
      </c>
      <c r="AE5" t="b">
        <f t="shared" si="10"/>
        <v>0</v>
      </c>
      <c r="AF5" t="b">
        <f t="shared" si="11"/>
        <v>0</v>
      </c>
      <c r="AG5" t="b">
        <f t="shared" si="12"/>
        <v>0</v>
      </c>
      <c r="AH5" t="b">
        <f t="shared" si="13"/>
        <v>0</v>
      </c>
    </row>
    <row r="6" spans="1:34" x14ac:dyDescent="0.2">
      <c r="A6" s="12" t="s">
        <v>40</v>
      </c>
      <c r="B6" s="12" t="s">
        <v>41</v>
      </c>
      <c r="C6" s="13" t="s">
        <v>41</v>
      </c>
      <c r="D6" s="18">
        <v>1</v>
      </c>
      <c r="E6" s="18">
        <v>0</v>
      </c>
      <c r="F6" s="18">
        <v>1</v>
      </c>
      <c r="G6" s="18">
        <v>2</v>
      </c>
      <c r="H6" s="18">
        <v>2</v>
      </c>
      <c r="I6" s="18">
        <v>1</v>
      </c>
      <c r="J6" s="19">
        <v>2</v>
      </c>
      <c r="K6" s="18">
        <v>1</v>
      </c>
      <c r="L6" s="18">
        <v>1</v>
      </c>
      <c r="M6" s="18">
        <v>2</v>
      </c>
      <c r="N6" s="18"/>
      <c r="O6" s="18">
        <v>1</v>
      </c>
      <c r="P6" s="18">
        <v>1</v>
      </c>
      <c r="Q6" s="17">
        <v>4</v>
      </c>
      <c r="R6">
        <v>7</v>
      </c>
      <c r="S6">
        <v>1</v>
      </c>
      <c r="T6">
        <v>1</v>
      </c>
      <c r="U6" s="14">
        <f t="shared" si="0"/>
        <v>13</v>
      </c>
      <c r="V6" t="b">
        <f t="shared" si="1"/>
        <v>1</v>
      </c>
      <c r="W6" t="b">
        <f t="shared" si="2"/>
        <v>1</v>
      </c>
      <c r="X6" t="b">
        <f t="shared" si="3"/>
        <v>1</v>
      </c>
      <c r="Y6" t="b">
        <f t="shared" si="4"/>
        <v>1</v>
      </c>
      <c r="Z6" t="b">
        <f t="shared" si="5"/>
        <v>0</v>
      </c>
      <c r="AA6" t="b">
        <f t="shared" si="6"/>
        <v>0</v>
      </c>
      <c r="AB6" t="b">
        <f t="shared" si="7"/>
        <v>0</v>
      </c>
      <c r="AC6" t="b">
        <f t="shared" si="8"/>
        <v>0</v>
      </c>
      <c r="AD6" t="b">
        <f t="shared" si="9"/>
        <v>0</v>
      </c>
      <c r="AE6" t="b">
        <f t="shared" si="10"/>
        <v>0</v>
      </c>
      <c r="AF6" t="b">
        <f t="shared" si="11"/>
        <v>0</v>
      </c>
      <c r="AG6" t="b">
        <f t="shared" si="12"/>
        <v>0</v>
      </c>
      <c r="AH6" t="b">
        <f t="shared" si="13"/>
        <v>0</v>
      </c>
    </row>
    <row r="7" spans="1:34" x14ac:dyDescent="0.2">
      <c r="A7" s="12" t="s">
        <v>42</v>
      </c>
      <c r="B7" s="12" t="s">
        <v>43</v>
      </c>
      <c r="C7" s="13" t="s">
        <v>44</v>
      </c>
      <c r="D7" s="18">
        <v>2</v>
      </c>
      <c r="E7" s="18">
        <v>1</v>
      </c>
      <c r="F7" s="18">
        <v>2</v>
      </c>
      <c r="G7" s="18">
        <v>2</v>
      </c>
      <c r="H7" s="18">
        <v>2</v>
      </c>
      <c r="I7" s="18">
        <v>2</v>
      </c>
      <c r="J7" s="19">
        <v>2</v>
      </c>
      <c r="K7" s="18">
        <v>1</v>
      </c>
      <c r="L7" s="18">
        <v>1</v>
      </c>
      <c r="M7" s="18">
        <v>2</v>
      </c>
      <c r="N7" s="18">
        <v>1</v>
      </c>
      <c r="O7" s="18">
        <v>2</v>
      </c>
      <c r="P7" s="18">
        <v>2</v>
      </c>
      <c r="Q7" s="17">
        <v>9</v>
      </c>
      <c r="R7">
        <v>4</v>
      </c>
      <c r="S7">
        <v>0</v>
      </c>
      <c r="T7">
        <v>0</v>
      </c>
      <c r="U7" s="14">
        <f t="shared" si="0"/>
        <v>13</v>
      </c>
      <c r="V7" t="b">
        <f t="shared" si="1"/>
        <v>1</v>
      </c>
      <c r="W7" t="b">
        <f t="shared" si="2"/>
        <v>1</v>
      </c>
      <c r="X7" t="b">
        <f t="shared" si="3"/>
        <v>1</v>
      </c>
      <c r="Y7" t="b">
        <f t="shared" si="4"/>
        <v>1</v>
      </c>
      <c r="Z7" t="b">
        <f t="shared" si="5"/>
        <v>1</v>
      </c>
      <c r="AA7" t="b">
        <f t="shared" si="6"/>
        <v>1</v>
      </c>
      <c r="AB7" t="b">
        <f t="shared" si="7"/>
        <v>1</v>
      </c>
      <c r="AC7" t="b">
        <f t="shared" si="8"/>
        <v>1</v>
      </c>
      <c r="AD7" t="b">
        <f t="shared" si="9"/>
        <v>1</v>
      </c>
      <c r="AE7" t="b">
        <f t="shared" si="10"/>
        <v>0</v>
      </c>
      <c r="AF7" t="b">
        <f t="shared" si="11"/>
        <v>0</v>
      </c>
      <c r="AG7" t="b">
        <f t="shared" si="12"/>
        <v>0</v>
      </c>
      <c r="AH7" t="b">
        <f t="shared" si="13"/>
        <v>0</v>
      </c>
    </row>
    <row r="8" spans="1:34" x14ac:dyDescent="0.2">
      <c r="A8" s="12" t="s">
        <v>45</v>
      </c>
      <c r="B8" s="12" t="s">
        <v>43</v>
      </c>
      <c r="C8" s="13" t="s">
        <v>44</v>
      </c>
      <c r="D8" s="18">
        <v>1</v>
      </c>
      <c r="E8" s="18">
        <v>1</v>
      </c>
      <c r="F8" s="18">
        <v>1</v>
      </c>
      <c r="G8" s="18">
        <v>1</v>
      </c>
      <c r="H8" s="18">
        <v>0</v>
      </c>
      <c r="I8" s="18">
        <v>0</v>
      </c>
      <c r="J8" s="19">
        <v>1</v>
      </c>
      <c r="K8" s="18">
        <v>1</v>
      </c>
      <c r="L8" s="18">
        <v>1</v>
      </c>
      <c r="M8" s="18">
        <v>2</v>
      </c>
      <c r="N8" s="18"/>
      <c r="O8" s="18">
        <v>0</v>
      </c>
      <c r="P8" s="18">
        <v>0</v>
      </c>
      <c r="Q8" s="17">
        <v>1</v>
      </c>
      <c r="R8">
        <v>7</v>
      </c>
      <c r="S8">
        <v>4</v>
      </c>
      <c r="T8">
        <v>1</v>
      </c>
      <c r="U8" s="14">
        <f t="shared" si="0"/>
        <v>13</v>
      </c>
      <c r="V8" t="b">
        <f t="shared" si="1"/>
        <v>1</v>
      </c>
      <c r="W8" t="b">
        <f t="shared" si="2"/>
        <v>0</v>
      </c>
      <c r="X8" t="b">
        <f t="shared" si="3"/>
        <v>0</v>
      </c>
      <c r="Y8" t="b">
        <f t="shared" si="4"/>
        <v>0</v>
      </c>
      <c r="Z8" t="b">
        <f t="shared" si="5"/>
        <v>0</v>
      </c>
      <c r="AA8" t="b">
        <f t="shared" si="6"/>
        <v>0</v>
      </c>
      <c r="AB8" t="b">
        <f t="shared" si="7"/>
        <v>0</v>
      </c>
      <c r="AC8" t="b">
        <f t="shared" si="8"/>
        <v>0</v>
      </c>
      <c r="AD8" t="b">
        <f t="shared" si="9"/>
        <v>0</v>
      </c>
      <c r="AE8" t="b">
        <f t="shared" si="10"/>
        <v>0</v>
      </c>
      <c r="AF8" t="b">
        <f t="shared" si="11"/>
        <v>0</v>
      </c>
      <c r="AG8" t="b">
        <f t="shared" si="12"/>
        <v>0</v>
      </c>
      <c r="AH8" t="b">
        <f t="shared" si="13"/>
        <v>0</v>
      </c>
    </row>
    <row r="9" spans="1:34" x14ac:dyDescent="0.2">
      <c r="A9" s="12" t="s">
        <v>46</v>
      </c>
      <c r="B9" s="12" t="s">
        <v>47</v>
      </c>
      <c r="C9" s="13" t="s">
        <v>47</v>
      </c>
      <c r="D9" s="18">
        <v>1</v>
      </c>
      <c r="E9" s="18">
        <v>1</v>
      </c>
      <c r="F9" s="18">
        <v>2</v>
      </c>
      <c r="G9" s="18">
        <v>2</v>
      </c>
      <c r="H9" s="18">
        <v>1</v>
      </c>
      <c r="I9" s="18">
        <v>2</v>
      </c>
      <c r="J9" s="19">
        <v>1</v>
      </c>
      <c r="K9" s="18">
        <v>2</v>
      </c>
      <c r="L9" s="18">
        <v>1</v>
      </c>
      <c r="M9" s="18">
        <v>2</v>
      </c>
      <c r="N9" s="18">
        <v>1</v>
      </c>
      <c r="O9" s="18">
        <v>1</v>
      </c>
      <c r="P9" s="18">
        <v>1</v>
      </c>
      <c r="Q9" s="17">
        <v>5</v>
      </c>
      <c r="R9">
        <v>8</v>
      </c>
      <c r="S9">
        <v>0</v>
      </c>
      <c r="T9">
        <v>0</v>
      </c>
      <c r="U9" s="14">
        <f t="shared" si="0"/>
        <v>13</v>
      </c>
      <c r="V9" t="b">
        <f t="shared" si="1"/>
        <v>1</v>
      </c>
      <c r="W9" t="b">
        <f t="shared" si="2"/>
        <v>1</v>
      </c>
      <c r="X9" t="b">
        <f t="shared" si="3"/>
        <v>1</v>
      </c>
      <c r="Y9" t="b">
        <f t="shared" si="4"/>
        <v>1</v>
      </c>
      <c r="Z9" t="b">
        <f t="shared" si="5"/>
        <v>1</v>
      </c>
      <c r="AA9" t="b">
        <f t="shared" si="6"/>
        <v>0</v>
      </c>
      <c r="AB9" t="b">
        <f t="shared" si="7"/>
        <v>0</v>
      </c>
      <c r="AC9" t="b">
        <f t="shared" si="8"/>
        <v>0</v>
      </c>
      <c r="AD9" t="b">
        <f t="shared" si="9"/>
        <v>0</v>
      </c>
      <c r="AE9" t="b">
        <f t="shared" si="10"/>
        <v>0</v>
      </c>
      <c r="AF9" t="b">
        <f t="shared" si="11"/>
        <v>0</v>
      </c>
      <c r="AG9" t="b">
        <f t="shared" si="12"/>
        <v>0</v>
      </c>
      <c r="AH9" t="b">
        <f t="shared" si="13"/>
        <v>0</v>
      </c>
    </row>
    <row r="10" spans="1:34" x14ac:dyDescent="0.2">
      <c r="A10" s="12" t="s">
        <v>48</v>
      </c>
      <c r="B10" s="12" t="s">
        <v>47</v>
      </c>
      <c r="C10" s="13" t="s">
        <v>47</v>
      </c>
      <c r="D10" s="18">
        <v>0</v>
      </c>
      <c r="E10" s="18">
        <v>2</v>
      </c>
      <c r="F10" s="18">
        <v>0</v>
      </c>
      <c r="G10" s="18">
        <v>0</v>
      </c>
      <c r="H10" s="18">
        <v>0</v>
      </c>
      <c r="I10" s="18">
        <v>0</v>
      </c>
      <c r="J10" s="19">
        <v>0</v>
      </c>
      <c r="K10" s="18">
        <v>0</v>
      </c>
      <c r="L10" s="18">
        <v>0</v>
      </c>
      <c r="M10" s="18">
        <v>0</v>
      </c>
      <c r="N10" s="18">
        <v>0</v>
      </c>
      <c r="O10" s="18">
        <v>0</v>
      </c>
      <c r="P10" s="18">
        <v>0</v>
      </c>
      <c r="Q10" s="17">
        <v>1</v>
      </c>
      <c r="R10">
        <v>0</v>
      </c>
      <c r="S10">
        <v>12</v>
      </c>
      <c r="T10">
        <v>0</v>
      </c>
      <c r="U10" s="14">
        <f t="shared" si="0"/>
        <v>13</v>
      </c>
      <c r="V10" t="b">
        <f t="shared" si="1"/>
        <v>1</v>
      </c>
      <c r="W10" t="b">
        <f t="shared" si="2"/>
        <v>0</v>
      </c>
      <c r="X10" t="b">
        <f t="shared" si="3"/>
        <v>0</v>
      </c>
      <c r="Y10" t="b">
        <f t="shared" si="4"/>
        <v>0</v>
      </c>
      <c r="Z10" t="b">
        <f t="shared" si="5"/>
        <v>0</v>
      </c>
      <c r="AA10" t="b">
        <f t="shared" si="6"/>
        <v>0</v>
      </c>
      <c r="AB10" t="b">
        <f t="shared" si="7"/>
        <v>0</v>
      </c>
      <c r="AC10" t="b">
        <f t="shared" si="8"/>
        <v>0</v>
      </c>
      <c r="AD10" t="b">
        <f t="shared" si="9"/>
        <v>0</v>
      </c>
      <c r="AE10" t="b">
        <f t="shared" si="10"/>
        <v>0</v>
      </c>
      <c r="AF10" t="b">
        <f t="shared" si="11"/>
        <v>0</v>
      </c>
      <c r="AG10" t="b">
        <f t="shared" si="12"/>
        <v>0</v>
      </c>
      <c r="AH10" t="b">
        <f t="shared" si="13"/>
        <v>0</v>
      </c>
    </row>
    <row r="11" spans="1:34" x14ac:dyDescent="0.2">
      <c r="A11" s="12" t="s">
        <v>40</v>
      </c>
      <c r="B11" s="12" t="s">
        <v>49</v>
      </c>
      <c r="C11" s="13" t="s">
        <v>49</v>
      </c>
      <c r="D11" s="18">
        <v>1</v>
      </c>
      <c r="E11" s="18">
        <v>0</v>
      </c>
      <c r="F11" s="18">
        <v>1</v>
      </c>
      <c r="G11" s="18">
        <v>1</v>
      </c>
      <c r="H11" s="18">
        <v>1</v>
      </c>
      <c r="I11" s="18">
        <v>0</v>
      </c>
      <c r="J11" s="19">
        <v>2</v>
      </c>
      <c r="K11" s="18">
        <v>1</v>
      </c>
      <c r="L11" s="18">
        <v>2</v>
      </c>
      <c r="M11" s="18">
        <v>1</v>
      </c>
      <c r="N11" s="18">
        <v>1</v>
      </c>
      <c r="O11" s="18">
        <v>2</v>
      </c>
      <c r="P11" s="18">
        <v>1</v>
      </c>
      <c r="Q11" s="17">
        <v>3</v>
      </c>
      <c r="R11">
        <v>8</v>
      </c>
      <c r="S11">
        <v>2</v>
      </c>
      <c r="T11">
        <v>0</v>
      </c>
      <c r="U11" s="14">
        <f t="shared" si="0"/>
        <v>13</v>
      </c>
      <c r="V11" t="b">
        <f t="shared" si="1"/>
        <v>1</v>
      </c>
      <c r="W11" t="b">
        <f t="shared" si="2"/>
        <v>1</v>
      </c>
      <c r="X11" t="b">
        <f t="shared" si="3"/>
        <v>1</v>
      </c>
      <c r="Y11" t="b">
        <f t="shared" si="4"/>
        <v>0</v>
      </c>
      <c r="Z11" t="b">
        <f t="shared" si="5"/>
        <v>0</v>
      </c>
      <c r="AA11" t="b">
        <f t="shared" si="6"/>
        <v>0</v>
      </c>
      <c r="AB11" t="b">
        <f t="shared" si="7"/>
        <v>0</v>
      </c>
      <c r="AC11" t="b">
        <f t="shared" si="8"/>
        <v>0</v>
      </c>
      <c r="AD11" t="b">
        <f t="shared" si="9"/>
        <v>0</v>
      </c>
      <c r="AE11" t="b">
        <f t="shared" si="10"/>
        <v>0</v>
      </c>
      <c r="AF11" t="b">
        <f t="shared" si="11"/>
        <v>0</v>
      </c>
      <c r="AG11" t="b">
        <f t="shared" si="12"/>
        <v>0</v>
      </c>
      <c r="AH11" t="b">
        <f t="shared" si="13"/>
        <v>0</v>
      </c>
    </row>
    <row r="12" spans="1:34" x14ac:dyDescent="0.2">
      <c r="A12" s="12" t="s">
        <v>50</v>
      </c>
      <c r="B12" s="12" t="s">
        <v>51</v>
      </c>
      <c r="C12" s="13" t="s">
        <v>51</v>
      </c>
      <c r="D12" s="18">
        <v>1</v>
      </c>
      <c r="E12" s="18">
        <v>0</v>
      </c>
      <c r="F12" s="18">
        <v>1</v>
      </c>
      <c r="G12" s="18">
        <v>0</v>
      </c>
      <c r="H12" s="18">
        <v>1</v>
      </c>
      <c r="I12" s="18">
        <v>1</v>
      </c>
      <c r="J12" s="19">
        <v>1</v>
      </c>
      <c r="K12" s="18">
        <v>0</v>
      </c>
      <c r="L12" s="18">
        <v>1</v>
      </c>
      <c r="M12" s="18">
        <v>1</v>
      </c>
      <c r="N12" s="18"/>
      <c r="O12" s="18">
        <v>2</v>
      </c>
      <c r="P12" s="18">
        <v>0</v>
      </c>
      <c r="Q12" s="17">
        <v>1</v>
      </c>
      <c r="R12">
        <v>7</v>
      </c>
      <c r="S12">
        <v>4</v>
      </c>
      <c r="T12">
        <v>1</v>
      </c>
      <c r="U12" s="14">
        <f t="shared" si="0"/>
        <v>13</v>
      </c>
      <c r="V12" t="b">
        <f t="shared" si="1"/>
        <v>1</v>
      </c>
      <c r="W12" t="b">
        <f t="shared" si="2"/>
        <v>0</v>
      </c>
      <c r="X12" t="b">
        <f t="shared" si="3"/>
        <v>0</v>
      </c>
      <c r="Y12" t="b">
        <f t="shared" si="4"/>
        <v>0</v>
      </c>
      <c r="Z12" t="b">
        <f t="shared" si="5"/>
        <v>0</v>
      </c>
      <c r="AA12" t="b">
        <f t="shared" si="6"/>
        <v>0</v>
      </c>
      <c r="AB12" t="b">
        <f t="shared" si="7"/>
        <v>0</v>
      </c>
      <c r="AC12" t="b">
        <f t="shared" si="8"/>
        <v>0</v>
      </c>
      <c r="AD12" t="b">
        <f t="shared" si="9"/>
        <v>0</v>
      </c>
      <c r="AE12" t="b">
        <f t="shared" si="10"/>
        <v>0</v>
      </c>
      <c r="AF12" t="b">
        <f t="shared" si="11"/>
        <v>0</v>
      </c>
      <c r="AG12" t="b">
        <f t="shared" si="12"/>
        <v>0</v>
      </c>
      <c r="AH12" t="b">
        <f t="shared" si="13"/>
        <v>0</v>
      </c>
    </row>
    <row r="13" spans="1:34" x14ac:dyDescent="0.2">
      <c r="A13" s="12" t="s">
        <v>52</v>
      </c>
      <c r="B13" s="12" t="s">
        <v>53</v>
      </c>
      <c r="C13" s="13" t="s">
        <v>53</v>
      </c>
      <c r="D13" s="18">
        <v>0</v>
      </c>
      <c r="E13" s="18">
        <v>2</v>
      </c>
      <c r="F13" s="18">
        <v>1</v>
      </c>
      <c r="G13" s="18">
        <v>2</v>
      </c>
      <c r="H13" s="18">
        <v>0</v>
      </c>
      <c r="I13" s="18">
        <v>0</v>
      </c>
      <c r="J13" s="19">
        <v>0</v>
      </c>
      <c r="K13" s="18">
        <v>0</v>
      </c>
      <c r="L13" s="18">
        <v>0</v>
      </c>
      <c r="M13" s="18">
        <v>0</v>
      </c>
      <c r="N13" s="18">
        <v>0</v>
      </c>
      <c r="O13" s="18">
        <v>1</v>
      </c>
      <c r="P13" s="18">
        <v>0</v>
      </c>
      <c r="Q13" s="17">
        <v>2</v>
      </c>
      <c r="R13">
        <v>2</v>
      </c>
      <c r="S13">
        <v>9</v>
      </c>
      <c r="T13">
        <v>0</v>
      </c>
      <c r="U13" s="14">
        <f t="shared" si="0"/>
        <v>13</v>
      </c>
      <c r="V13" t="b">
        <f t="shared" si="1"/>
        <v>1</v>
      </c>
      <c r="W13" t="b">
        <f t="shared" si="2"/>
        <v>1</v>
      </c>
      <c r="X13" t="b">
        <f t="shared" si="3"/>
        <v>0</v>
      </c>
      <c r="Y13" t="b">
        <f t="shared" si="4"/>
        <v>0</v>
      </c>
      <c r="Z13" t="b">
        <f t="shared" si="5"/>
        <v>0</v>
      </c>
      <c r="AA13" t="b">
        <f t="shared" si="6"/>
        <v>0</v>
      </c>
      <c r="AB13" t="b">
        <f t="shared" si="7"/>
        <v>0</v>
      </c>
      <c r="AC13" t="b">
        <f t="shared" si="8"/>
        <v>0</v>
      </c>
      <c r="AD13" t="b">
        <f t="shared" si="9"/>
        <v>0</v>
      </c>
      <c r="AE13" t="b">
        <f t="shared" si="10"/>
        <v>0</v>
      </c>
      <c r="AF13" t="b">
        <f t="shared" si="11"/>
        <v>0</v>
      </c>
      <c r="AG13" t="b">
        <f t="shared" si="12"/>
        <v>0</v>
      </c>
      <c r="AH13" t="b">
        <f t="shared" si="13"/>
        <v>0</v>
      </c>
    </row>
    <row r="14" spans="1:34" x14ac:dyDescent="0.2">
      <c r="A14" s="12" t="s">
        <v>54</v>
      </c>
      <c r="B14" s="12" t="s">
        <v>55</v>
      </c>
      <c r="C14" s="13" t="s">
        <v>55</v>
      </c>
      <c r="D14" s="18">
        <v>0</v>
      </c>
      <c r="E14" s="18">
        <v>2</v>
      </c>
      <c r="F14" s="18">
        <v>0</v>
      </c>
      <c r="G14" s="18">
        <v>1</v>
      </c>
      <c r="H14" s="18">
        <v>2</v>
      </c>
      <c r="I14" s="18">
        <v>0</v>
      </c>
      <c r="J14" s="19">
        <v>2</v>
      </c>
      <c r="K14" s="18">
        <v>0</v>
      </c>
      <c r="L14" s="18">
        <v>1</v>
      </c>
      <c r="M14" s="18">
        <v>1</v>
      </c>
      <c r="N14" s="18">
        <v>0</v>
      </c>
      <c r="O14" s="18">
        <v>1</v>
      </c>
      <c r="P14" s="18">
        <v>0</v>
      </c>
      <c r="Q14" s="17">
        <v>3</v>
      </c>
      <c r="R14">
        <v>4</v>
      </c>
      <c r="S14">
        <v>6</v>
      </c>
      <c r="T14">
        <v>0</v>
      </c>
      <c r="U14" s="14">
        <f t="shared" si="0"/>
        <v>13</v>
      </c>
      <c r="V14" t="b">
        <f t="shared" si="1"/>
        <v>1</v>
      </c>
      <c r="W14" t="b">
        <f t="shared" si="2"/>
        <v>1</v>
      </c>
      <c r="X14" t="b">
        <f t="shared" si="3"/>
        <v>1</v>
      </c>
      <c r="Y14" t="b">
        <f t="shared" si="4"/>
        <v>0</v>
      </c>
      <c r="Z14" t="b">
        <f t="shared" si="5"/>
        <v>0</v>
      </c>
      <c r="AA14" t="b">
        <f t="shared" si="6"/>
        <v>0</v>
      </c>
      <c r="AB14" t="b">
        <f t="shared" si="7"/>
        <v>0</v>
      </c>
      <c r="AC14" t="b">
        <f t="shared" si="8"/>
        <v>0</v>
      </c>
      <c r="AD14" t="b">
        <f t="shared" si="9"/>
        <v>0</v>
      </c>
      <c r="AE14" t="b">
        <f t="shared" si="10"/>
        <v>0</v>
      </c>
      <c r="AF14" t="b">
        <f t="shared" si="11"/>
        <v>0</v>
      </c>
      <c r="AG14" t="b">
        <f t="shared" si="12"/>
        <v>0</v>
      </c>
      <c r="AH14" t="b">
        <f t="shared" si="13"/>
        <v>0</v>
      </c>
    </row>
    <row r="15" spans="1:34" x14ac:dyDescent="0.2">
      <c r="A15" s="12" t="s">
        <v>56</v>
      </c>
      <c r="B15" s="12" t="s">
        <v>55</v>
      </c>
      <c r="C15" s="13" t="s">
        <v>55</v>
      </c>
      <c r="D15" s="18">
        <v>1</v>
      </c>
      <c r="E15" s="18">
        <v>0</v>
      </c>
      <c r="F15" s="18">
        <v>1</v>
      </c>
      <c r="G15" s="18">
        <v>0</v>
      </c>
      <c r="H15" s="18">
        <v>0</v>
      </c>
      <c r="I15" s="18">
        <v>0</v>
      </c>
      <c r="J15" s="19">
        <v>2</v>
      </c>
      <c r="K15" s="18">
        <v>0</v>
      </c>
      <c r="L15" s="18">
        <v>1</v>
      </c>
      <c r="M15" s="18">
        <v>1</v>
      </c>
      <c r="N15" s="18">
        <v>0</v>
      </c>
      <c r="O15" s="18">
        <v>1</v>
      </c>
      <c r="P15" s="18">
        <v>0</v>
      </c>
      <c r="Q15" s="17">
        <v>1</v>
      </c>
      <c r="R15">
        <v>5</v>
      </c>
      <c r="S15">
        <v>7</v>
      </c>
      <c r="T15">
        <v>0</v>
      </c>
      <c r="U15" s="14">
        <f t="shared" si="0"/>
        <v>13</v>
      </c>
      <c r="V15" t="b">
        <f t="shared" si="1"/>
        <v>1</v>
      </c>
      <c r="W15" t="b">
        <f t="shared" si="2"/>
        <v>0</v>
      </c>
      <c r="X15" t="b">
        <f t="shared" si="3"/>
        <v>0</v>
      </c>
      <c r="Y15" t="b">
        <f t="shared" si="4"/>
        <v>0</v>
      </c>
      <c r="Z15" t="b">
        <f t="shared" si="5"/>
        <v>0</v>
      </c>
      <c r="AA15" t="b">
        <f t="shared" si="6"/>
        <v>0</v>
      </c>
      <c r="AB15" t="b">
        <f t="shared" si="7"/>
        <v>0</v>
      </c>
      <c r="AC15" t="b">
        <f t="shared" si="8"/>
        <v>0</v>
      </c>
      <c r="AD15" t="b">
        <f t="shared" si="9"/>
        <v>0</v>
      </c>
      <c r="AE15" t="b">
        <f t="shared" si="10"/>
        <v>0</v>
      </c>
      <c r="AF15" t="b">
        <f t="shared" si="11"/>
        <v>0</v>
      </c>
      <c r="AG15" t="b">
        <f t="shared" si="12"/>
        <v>0</v>
      </c>
      <c r="AH15" t="b">
        <f t="shared" si="13"/>
        <v>0</v>
      </c>
    </row>
    <row r="16" spans="1:34" x14ac:dyDescent="0.2">
      <c r="A16" s="12" t="s">
        <v>57</v>
      </c>
      <c r="B16" s="12" t="s">
        <v>58</v>
      </c>
      <c r="C16" s="13" t="s">
        <v>58</v>
      </c>
      <c r="D16" s="18">
        <v>1</v>
      </c>
      <c r="E16" s="18">
        <v>1</v>
      </c>
      <c r="F16" s="18">
        <v>2</v>
      </c>
      <c r="G16" s="18">
        <v>1</v>
      </c>
      <c r="H16" s="18">
        <v>2</v>
      </c>
      <c r="I16" s="18">
        <v>1</v>
      </c>
      <c r="J16" s="19">
        <v>2</v>
      </c>
      <c r="K16" s="18">
        <v>1</v>
      </c>
      <c r="L16" s="18">
        <v>1</v>
      </c>
      <c r="M16" s="18">
        <v>2</v>
      </c>
      <c r="N16" s="18"/>
      <c r="O16" s="18">
        <v>2</v>
      </c>
      <c r="P16" s="18">
        <v>0</v>
      </c>
      <c r="Q16" s="17">
        <v>5</v>
      </c>
      <c r="R16">
        <v>6</v>
      </c>
      <c r="S16">
        <v>1</v>
      </c>
      <c r="T16">
        <v>1</v>
      </c>
      <c r="U16" s="14">
        <f t="shared" si="0"/>
        <v>13</v>
      </c>
      <c r="V16" t="b">
        <f t="shared" si="1"/>
        <v>1</v>
      </c>
      <c r="W16" t="b">
        <f t="shared" si="2"/>
        <v>1</v>
      </c>
      <c r="X16" t="b">
        <f t="shared" si="3"/>
        <v>1</v>
      </c>
      <c r="Y16" t="b">
        <f t="shared" si="4"/>
        <v>1</v>
      </c>
      <c r="Z16" t="b">
        <f t="shared" si="5"/>
        <v>1</v>
      </c>
      <c r="AA16" t="b">
        <f t="shared" si="6"/>
        <v>0</v>
      </c>
      <c r="AB16" t="b">
        <f t="shared" si="7"/>
        <v>0</v>
      </c>
      <c r="AC16" t="b">
        <f t="shared" si="8"/>
        <v>0</v>
      </c>
      <c r="AD16" t="b">
        <f t="shared" si="9"/>
        <v>0</v>
      </c>
      <c r="AE16" t="b">
        <f t="shared" si="10"/>
        <v>0</v>
      </c>
      <c r="AF16" t="b">
        <f t="shared" si="11"/>
        <v>0</v>
      </c>
      <c r="AG16" t="b">
        <f t="shared" si="12"/>
        <v>0</v>
      </c>
      <c r="AH16" t="b">
        <f t="shared" si="13"/>
        <v>0</v>
      </c>
    </row>
    <row r="17" spans="1:34" x14ac:dyDescent="0.2">
      <c r="A17" s="12" t="s">
        <v>59</v>
      </c>
      <c r="B17" s="12" t="s">
        <v>58</v>
      </c>
      <c r="C17" s="13" t="s">
        <v>58</v>
      </c>
      <c r="D17" s="18">
        <v>0</v>
      </c>
      <c r="E17" s="18">
        <v>2</v>
      </c>
      <c r="F17" s="18">
        <v>2</v>
      </c>
      <c r="G17" s="18">
        <v>2</v>
      </c>
      <c r="H17" s="18">
        <v>2</v>
      </c>
      <c r="I17" s="18">
        <v>0</v>
      </c>
      <c r="J17" s="19">
        <v>1</v>
      </c>
      <c r="K17" s="18">
        <v>1</v>
      </c>
      <c r="L17" s="18">
        <v>1</v>
      </c>
      <c r="M17" s="18">
        <v>2</v>
      </c>
      <c r="N17" s="18">
        <v>1</v>
      </c>
      <c r="O17" s="18">
        <v>2</v>
      </c>
      <c r="P17" s="18">
        <v>0</v>
      </c>
      <c r="Q17" s="17">
        <v>6</v>
      </c>
      <c r="R17">
        <v>4</v>
      </c>
      <c r="S17">
        <v>3</v>
      </c>
      <c r="T17">
        <v>0</v>
      </c>
      <c r="U17" s="14">
        <f t="shared" si="0"/>
        <v>13</v>
      </c>
      <c r="V17" t="b">
        <f t="shared" si="1"/>
        <v>1</v>
      </c>
      <c r="W17" t="b">
        <f t="shared" si="2"/>
        <v>1</v>
      </c>
      <c r="X17" t="b">
        <f t="shared" si="3"/>
        <v>1</v>
      </c>
      <c r="Y17" t="b">
        <f t="shared" si="4"/>
        <v>1</v>
      </c>
      <c r="Z17" t="b">
        <f t="shared" si="5"/>
        <v>1</v>
      </c>
      <c r="AA17" t="b">
        <f t="shared" si="6"/>
        <v>1</v>
      </c>
      <c r="AB17" t="b">
        <f t="shared" si="7"/>
        <v>0</v>
      </c>
      <c r="AC17" t="b">
        <f t="shared" si="8"/>
        <v>0</v>
      </c>
      <c r="AD17" t="b">
        <f t="shared" si="9"/>
        <v>0</v>
      </c>
      <c r="AE17" t="b">
        <f t="shared" si="10"/>
        <v>0</v>
      </c>
      <c r="AF17" t="b">
        <f t="shared" si="11"/>
        <v>0</v>
      </c>
      <c r="AG17" t="b">
        <f t="shared" si="12"/>
        <v>0</v>
      </c>
      <c r="AH17" t="b">
        <f t="shared" si="13"/>
        <v>0</v>
      </c>
    </row>
    <row r="18" spans="1:34" x14ac:dyDescent="0.2">
      <c r="A18" s="12" t="s">
        <v>60</v>
      </c>
      <c r="B18" s="12" t="s">
        <v>61</v>
      </c>
      <c r="C18" s="13" t="s">
        <v>44</v>
      </c>
      <c r="D18" s="18">
        <v>1</v>
      </c>
      <c r="E18" s="18">
        <v>1</v>
      </c>
      <c r="F18" s="18">
        <v>2</v>
      </c>
      <c r="G18" s="18">
        <v>1</v>
      </c>
      <c r="H18" s="18">
        <v>2</v>
      </c>
      <c r="I18" s="18">
        <v>1</v>
      </c>
      <c r="J18" s="19">
        <v>0</v>
      </c>
      <c r="K18" s="18">
        <v>1</v>
      </c>
      <c r="L18" s="18">
        <v>1</v>
      </c>
      <c r="M18" s="18">
        <v>2</v>
      </c>
      <c r="N18" s="18">
        <v>2</v>
      </c>
      <c r="O18" s="18">
        <v>1</v>
      </c>
      <c r="P18" s="18">
        <v>0</v>
      </c>
      <c r="Q18" s="17">
        <v>4</v>
      </c>
      <c r="R18">
        <v>7</v>
      </c>
      <c r="S18">
        <v>2</v>
      </c>
      <c r="T18">
        <v>0</v>
      </c>
      <c r="U18" s="14">
        <f t="shared" si="0"/>
        <v>13</v>
      </c>
      <c r="V18" t="b">
        <f t="shared" si="1"/>
        <v>1</v>
      </c>
      <c r="W18" t="b">
        <f t="shared" si="2"/>
        <v>1</v>
      </c>
      <c r="X18" t="b">
        <f t="shared" si="3"/>
        <v>1</v>
      </c>
      <c r="Y18" t="b">
        <f t="shared" si="4"/>
        <v>1</v>
      </c>
      <c r="Z18" t="b">
        <f t="shared" si="5"/>
        <v>0</v>
      </c>
      <c r="AA18" t="b">
        <f t="shared" si="6"/>
        <v>0</v>
      </c>
      <c r="AB18" t="b">
        <f t="shared" si="7"/>
        <v>0</v>
      </c>
      <c r="AC18" t="b">
        <f t="shared" si="8"/>
        <v>0</v>
      </c>
      <c r="AD18" t="b">
        <f t="shared" si="9"/>
        <v>0</v>
      </c>
      <c r="AE18" t="b">
        <f t="shared" si="10"/>
        <v>0</v>
      </c>
      <c r="AF18" t="b">
        <f t="shared" si="11"/>
        <v>0</v>
      </c>
      <c r="AG18" t="b">
        <f t="shared" si="12"/>
        <v>0</v>
      </c>
      <c r="AH18" t="b">
        <f t="shared" si="13"/>
        <v>0</v>
      </c>
    </row>
    <row r="19" spans="1:34" x14ac:dyDescent="0.2">
      <c r="A19" s="12" t="s">
        <v>62</v>
      </c>
      <c r="B19" s="12" t="s">
        <v>61</v>
      </c>
      <c r="C19" s="13" t="s">
        <v>44</v>
      </c>
      <c r="D19" s="18">
        <v>2</v>
      </c>
      <c r="E19" s="18">
        <v>2</v>
      </c>
      <c r="F19" s="18">
        <v>2</v>
      </c>
      <c r="G19" s="18">
        <v>2</v>
      </c>
      <c r="H19" s="18">
        <v>2</v>
      </c>
      <c r="I19" s="18">
        <v>1</v>
      </c>
      <c r="J19" s="19">
        <v>2</v>
      </c>
      <c r="K19" s="18">
        <v>2</v>
      </c>
      <c r="L19" s="18">
        <v>1</v>
      </c>
      <c r="M19" s="18">
        <v>2</v>
      </c>
      <c r="N19" s="18">
        <v>1</v>
      </c>
      <c r="O19" s="18">
        <v>2</v>
      </c>
      <c r="P19" s="18">
        <v>2</v>
      </c>
      <c r="Q19" s="17">
        <v>10</v>
      </c>
      <c r="R19">
        <v>3</v>
      </c>
      <c r="S19">
        <v>0</v>
      </c>
      <c r="T19">
        <v>0</v>
      </c>
      <c r="U19" s="14">
        <f t="shared" si="0"/>
        <v>13</v>
      </c>
      <c r="V19" t="b">
        <f t="shared" si="1"/>
        <v>1</v>
      </c>
      <c r="W19" t="b">
        <f t="shared" si="2"/>
        <v>1</v>
      </c>
      <c r="X19" t="b">
        <f t="shared" si="3"/>
        <v>1</v>
      </c>
      <c r="Y19" t="b">
        <f t="shared" si="4"/>
        <v>1</v>
      </c>
      <c r="Z19" t="b">
        <f t="shared" si="5"/>
        <v>1</v>
      </c>
      <c r="AA19" t="b">
        <f t="shared" si="6"/>
        <v>1</v>
      </c>
      <c r="AB19" t="b">
        <f t="shared" si="7"/>
        <v>1</v>
      </c>
      <c r="AC19" t="b">
        <f t="shared" si="8"/>
        <v>1</v>
      </c>
      <c r="AD19" t="b">
        <f t="shared" si="9"/>
        <v>1</v>
      </c>
      <c r="AE19" t="b">
        <f t="shared" si="10"/>
        <v>1</v>
      </c>
      <c r="AF19" t="b">
        <f t="shared" si="11"/>
        <v>0</v>
      </c>
      <c r="AG19" t="b">
        <f t="shared" si="12"/>
        <v>0</v>
      </c>
      <c r="AH19" t="b">
        <f t="shared" si="13"/>
        <v>0</v>
      </c>
    </row>
    <row r="20" spans="1:34" x14ac:dyDescent="0.2">
      <c r="A20" s="12" t="s">
        <v>63</v>
      </c>
      <c r="B20" s="12" t="s">
        <v>61</v>
      </c>
      <c r="C20" s="13" t="s">
        <v>44</v>
      </c>
      <c r="D20" s="18">
        <v>1</v>
      </c>
      <c r="E20" s="18">
        <v>2</v>
      </c>
      <c r="F20" s="18">
        <v>1</v>
      </c>
      <c r="G20" s="18">
        <v>2</v>
      </c>
      <c r="H20" s="18">
        <v>0</v>
      </c>
      <c r="I20" s="18">
        <v>0</v>
      </c>
      <c r="J20" s="19">
        <v>1</v>
      </c>
      <c r="K20" s="18">
        <v>1</v>
      </c>
      <c r="L20" s="18">
        <v>1</v>
      </c>
      <c r="M20" s="18">
        <v>2</v>
      </c>
      <c r="N20" s="18">
        <v>1</v>
      </c>
      <c r="O20" s="18">
        <v>2</v>
      </c>
      <c r="P20" s="18">
        <v>2</v>
      </c>
      <c r="Q20" s="17">
        <v>5</v>
      </c>
      <c r="R20">
        <v>6</v>
      </c>
      <c r="S20">
        <v>2</v>
      </c>
      <c r="T20">
        <v>0</v>
      </c>
      <c r="U20" s="14">
        <f t="shared" si="0"/>
        <v>13</v>
      </c>
      <c r="V20" t="b">
        <f t="shared" si="1"/>
        <v>1</v>
      </c>
      <c r="W20" t="b">
        <f t="shared" si="2"/>
        <v>1</v>
      </c>
      <c r="X20" t="b">
        <f t="shared" si="3"/>
        <v>1</v>
      </c>
      <c r="Y20" t="b">
        <f t="shared" si="4"/>
        <v>1</v>
      </c>
      <c r="Z20" t="b">
        <f t="shared" si="5"/>
        <v>1</v>
      </c>
      <c r="AA20" t="b">
        <f t="shared" si="6"/>
        <v>0</v>
      </c>
      <c r="AB20" t="b">
        <f t="shared" si="7"/>
        <v>0</v>
      </c>
      <c r="AC20" t="b">
        <f t="shared" si="8"/>
        <v>0</v>
      </c>
      <c r="AD20" t="b">
        <f t="shared" si="9"/>
        <v>0</v>
      </c>
      <c r="AE20" t="b">
        <f t="shared" si="10"/>
        <v>0</v>
      </c>
      <c r="AF20" t="b">
        <f t="shared" si="11"/>
        <v>0</v>
      </c>
      <c r="AG20" t="b">
        <f t="shared" si="12"/>
        <v>0</v>
      </c>
      <c r="AH20" t="b">
        <f t="shared" si="13"/>
        <v>0</v>
      </c>
    </row>
    <row r="21" spans="1:34" x14ac:dyDescent="0.2">
      <c r="A21" s="12" t="s">
        <v>64</v>
      </c>
      <c r="B21" s="12" t="s">
        <v>65</v>
      </c>
      <c r="C21" s="13" t="s">
        <v>44</v>
      </c>
      <c r="D21" s="18">
        <v>0</v>
      </c>
      <c r="E21" s="18">
        <v>2</v>
      </c>
      <c r="F21" s="18">
        <v>1</v>
      </c>
      <c r="G21" s="18">
        <v>0</v>
      </c>
      <c r="H21" s="18"/>
      <c r="I21" s="18">
        <v>1</v>
      </c>
      <c r="J21" s="19">
        <v>0</v>
      </c>
      <c r="K21" s="18">
        <v>0</v>
      </c>
      <c r="L21" s="18">
        <v>0</v>
      </c>
      <c r="M21" s="18">
        <v>0</v>
      </c>
      <c r="N21" s="18"/>
      <c r="O21" s="18">
        <v>0</v>
      </c>
      <c r="P21" s="18">
        <v>0</v>
      </c>
      <c r="Q21" s="17">
        <v>1</v>
      </c>
      <c r="R21">
        <v>2</v>
      </c>
      <c r="S21">
        <v>8</v>
      </c>
      <c r="T21">
        <v>2</v>
      </c>
      <c r="U21" s="14">
        <f t="shared" si="0"/>
        <v>13</v>
      </c>
      <c r="V21" t="b">
        <f t="shared" si="1"/>
        <v>1</v>
      </c>
      <c r="W21" t="b">
        <f t="shared" si="2"/>
        <v>0</v>
      </c>
      <c r="X21" t="b">
        <f t="shared" si="3"/>
        <v>0</v>
      </c>
      <c r="Y21" t="b">
        <f t="shared" si="4"/>
        <v>0</v>
      </c>
      <c r="Z21" t="b">
        <f t="shared" si="5"/>
        <v>0</v>
      </c>
      <c r="AA21" t="b">
        <f t="shared" si="6"/>
        <v>0</v>
      </c>
      <c r="AB21" t="b">
        <f t="shared" si="7"/>
        <v>0</v>
      </c>
      <c r="AC21" t="b">
        <f t="shared" si="8"/>
        <v>0</v>
      </c>
      <c r="AD21" t="b">
        <f t="shared" si="9"/>
        <v>0</v>
      </c>
      <c r="AE21" t="b">
        <f t="shared" si="10"/>
        <v>0</v>
      </c>
      <c r="AF21" t="b">
        <f t="shared" si="11"/>
        <v>0</v>
      </c>
      <c r="AG21" t="b">
        <f t="shared" si="12"/>
        <v>0</v>
      </c>
      <c r="AH21" t="b">
        <f t="shared" si="13"/>
        <v>0</v>
      </c>
    </row>
    <row r="22" spans="1:34" x14ac:dyDescent="0.2">
      <c r="A22" s="12" t="s">
        <v>66</v>
      </c>
      <c r="B22" s="12" t="s">
        <v>65</v>
      </c>
      <c r="C22" s="13" t="s">
        <v>44</v>
      </c>
      <c r="D22" s="18">
        <v>0</v>
      </c>
      <c r="E22" s="18">
        <v>2</v>
      </c>
      <c r="F22" s="18">
        <v>0</v>
      </c>
      <c r="G22" s="18">
        <v>0</v>
      </c>
      <c r="H22" s="18"/>
      <c r="I22" s="18">
        <v>0</v>
      </c>
      <c r="J22" s="19">
        <v>0</v>
      </c>
      <c r="K22" s="18">
        <v>0</v>
      </c>
      <c r="L22" s="18"/>
      <c r="M22" s="18">
        <v>0</v>
      </c>
      <c r="N22" s="18"/>
      <c r="O22" s="18">
        <v>0</v>
      </c>
      <c r="P22" s="18">
        <v>0</v>
      </c>
      <c r="Q22" s="17">
        <v>1</v>
      </c>
      <c r="R22">
        <v>0</v>
      </c>
      <c r="S22">
        <v>9</v>
      </c>
      <c r="T22">
        <v>3</v>
      </c>
      <c r="U22" s="14">
        <f t="shared" si="0"/>
        <v>13</v>
      </c>
      <c r="V22" t="b">
        <f t="shared" si="1"/>
        <v>1</v>
      </c>
      <c r="W22" t="b">
        <f t="shared" si="2"/>
        <v>0</v>
      </c>
      <c r="X22" t="b">
        <f t="shared" si="3"/>
        <v>0</v>
      </c>
      <c r="Y22" t="b">
        <f t="shared" si="4"/>
        <v>0</v>
      </c>
      <c r="Z22" t="b">
        <f t="shared" si="5"/>
        <v>0</v>
      </c>
      <c r="AA22" t="b">
        <f t="shared" si="6"/>
        <v>0</v>
      </c>
      <c r="AB22" t="b">
        <f t="shared" si="7"/>
        <v>0</v>
      </c>
      <c r="AC22" t="b">
        <f t="shared" si="8"/>
        <v>0</v>
      </c>
      <c r="AD22" t="b">
        <f t="shared" si="9"/>
        <v>0</v>
      </c>
      <c r="AE22" t="b">
        <f t="shared" si="10"/>
        <v>0</v>
      </c>
      <c r="AF22" t="b">
        <f t="shared" si="11"/>
        <v>0</v>
      </c>
      <c r="AG22" t="b">
        <f t="shared" si="12"/>
        <v>0</v>
      </c>
      <c r="AH22" t="b">
        <f t="shared" si="13"/>
        <v>0</v>
      </c>
    </row>
    <row r="23" spans="1:34" x14ac:dyDescent="0.2">
      <c r="A23" s="12" t="s">
        <v>67</v>
      </c>
      <c r="B23" s="12" t="s">
        <v>65</v>
      </c>
      <c r="C23" s="13" t="s">
        <v>44</v>
      </c>
      <c r="D23" s="18">
        <v>0</v>
      </c>
      <c r="E23" s="18">
        <v>1</v>
      </c>
      <c r="F23" s="18">
        <v>0</v>
      </c>
      <c r="G23" s="18">
        <v>0</v>
      </c>
      <c r="H23" s="18"/>
      <c r="I23" s="18">
        <v>0</v>
      </c>
      <c r="J23" s="19">
        <v>0</v>
      </c>
      <c r="K23" s="18">
        <v>0</v>
      </c>
      <c r="L23" s="18">
        <v>0</v>
      </c>
      <c r="M23" s="18">
        <v>0</v>
      </c>
      <c r="N23" s="18"/>
      <c r="O23" s="18">
        <v>0</v>
      </c>
      <c r="P23" s="18">
        <v>0</v>
      </c>
      <c r="Q23" s="17">
        <v>0</v>
      </c>
      <c r="R23">
        <v>1</v>
      </c>
      <c r="S23">
        <v>10</v>
      </c>
      <c r="T23">
        <v>2</v>
      </c>
      <c r="U23" s="14">
        <f t="shared" si="0"/>
        <v>13</v>
      </c>
      <c r="V23" t="b">
        <f t="shared" si="1"/>
        <v>0</v>
      </c>
      <c r="W23" t="b">
        <f t="shared" si="2"/>
        <v>0</v>
      </c>
      <c r="X23" t="b">
        <f t="shared" si="3"/>
        <v>0</v>
      </c>
      <c r="Y23" t="b">
        <f t="shared" si="4"/>
        <v>0</v>
      </c>
      <c r="Z23" t="b">
        <f t="shared" si="5"/>
        <v>0</v>
      </c>
      <c r="AA23" t="b">
        <f t="shared" si="6"/>
        <v>0</v>
      </c>
      <c r="AB23" t="b">
        <f t="shared" si="7"/>
        <v>0</v>
      </c>
      <c r="AC23" t="b">
        <f t="shared" si="8"/>
        <v>0</v>
      </c>
      <c r="AD23" t="b">
        <f t="shared" si="9"/>
        <v>0</v>
      </c>
      <c r="AE23" t="b">
        <f t="shared" si="10"/>
        <v>0</v>
      </c>
      <c r="AF23" t="b">
        <f t="shared" si="11"/>
        <v>0</v>
      </c>
      <c r="AG23" t="b">
        <f t="shared" si="12"/>
        <v>0</v>
      </c>
      <c r="AH23" t="b">
        <f t="shared" si="13"/>
        <v>0</v>
      </c>
    </row>
    <row r="24" spans="1:34" x14ac:dyDescent="0.2">
      <c r="A24" s="12" t="s">
        <v>68</v>
      </c>
      <c r="B24" s="12" t="s">
        <v>69</v>
      </c>
      <c r="C24" s="13" t="s">
        <v>69</v>
      </c>
      <c r="D24" s="18">
        <v>2</v>
      </c>
      <c r="E24" s="18">
        <v>2</v>
      </c>
      <c r="F24" s="18">
        <v>2</v>
      </c>
      <c r="G24" s="18">
        <v>2</v>
      </c>
      <c r="H24" s="18">
        <v>1</v>
      </c>
      <c r="I24" s="18">
        <v>0</v>
      </c>
      <c r="J24" s="19">
        <v>2</v>
      </c>
      <c r="K24" s="18">
        <v>2</v>
      </c>
      <c r="L24" s="18"/>
      <c r="M24" s="18">
        <v>2</v>
      </c>
      <c r="N24" s="18">
        <v>2</v>
      </c>
      <c r="O24" s="18">
        <v>2</v>
      </c>
      <c r="P24" s="18">
        <v>2</v>
      </c>
      <c r="Q24" s="17">
        <v>10</v>
      </c>
      <c r="R24">
        <v>1</v>
      </c>
      <c r="S24">
        <v>1</v>
      </c>
      <c r="T24">
        <v>1</v>
      </c>
      <c r="U24" s="14">
        <f t="shared" si="0"/>
        <v>13</v>
      </c>
      <c r="V24" t="b">
        <f t="shared" si="1"/>
        <v>1</v>
      </c>
      <c r="W24" t="b">
        <f t="shared" si="2"/>
        <v>1</v>
      </c>
      <c r="X24" t="b">
        <f t="shared" si="3"/>
        <v>1</v>
      </c>
      <c r="Y24" t="b">
        <f t="shared" si="4"/>
        <v>1</v>
      </c>
      <c r="Z24" t="b">
        <f t="shared" si="5"/>
        <v>1</v>
      </c>
      <c r="AA24" t="b">
        <f t="shared" si="6"/>
        <v>1</v>
      </c>
      <c r="AB24" t="b">
        <f t="shared" si="7"/>
        <v>1</v>
      </c>
      <c r="AC24" t="b">
        <f t="shared" si="8"/>
        <v>1</v>
      </c>
      <c r="AD24" t="b">
        <f t="shared" si="9"/>
        <v>1</v>
      </c>
      <c r="AE24" t="b">
        <f t="shared" si="10"/>
        <v>1</v>
      </c>
      <c r="AF24" t="b">
        <f t="shared" si="11"/>
        <v>0</v>
      </c>
      <c r="AG24" t="b">
        <f t="shared" si="12"/>
        <v>0</v>
      </c>
      <c r="AH24" t="b">
        <f t="shared" si="13"/>
        <v>0</v>
      </c>
    </row>
    <row r="25" spans="1:34" x14ac:dyDescent="0.2">
      <c r="A25" s="12" t="s">
        <v>70</v>
      </c>
      <c r="B25" s="12" t="s">
        <v>71</v>
      </c>
      <c r="C25" s="13" t="s">
        <v>71</v>
      </c>
      <c r="D25" s="18">
        <v>0</v>
      </c>
      <c r="E25" s="18">
        <v>2</v>
      </c>
      <c r="F25" s="18">
        <v>2</v>
      </c>
      <c r="G25" s="18">
        <v>1</v>
      </c>
      <c r="H25" s="18">
        <v>0</v>
      </c>
      <c r="I25" s="18">
        <v>0</v>
      </c>
      <c r="J25" s="19">
        <v>2</v>
      </c>
      <c r="K25" s="18">
        <v>0</v>
      </c>
      <c r="L25" s="18">
        <v>2</v>
      </c>
      <c r="M25" s="18">
        <v>1</v>
      </c>
      <c r="N25" s="18">
        <v>0</v>
      </c>
      <c r="O25" s="18">
        <v>2</v>
      </c>
      <c r="P25" s="18">
        <v>0</v>
      </c>
      <c r="Q25" s="17">
        <v>5</v>
      </c>
      <c r="R25">
        <v>2</v>
      </c>
      <c r="S25">
        <v>6</v>
      </c>
      <c r="T25">
        <v>0</v>
      </c>
      <c r="U25" s="14">
        <f t="shared" si="0"/>
        <v>13</v>
      </c>
      <c r="V25" t="b">
        <f t="shared" si="1"/>
        <v>1</v>
      </c>
      <c r="W25" t="b">
        <f t="shared" si="2"/>
        <v>1</v>
      </c>
      <c r="X25" t="b">
        <f t="shared" si="3"/>
        <v>1</v>
      </c>
      <c r="Y25" t="b">
        <f t="shared" si="4"/>
        <v>1</v>
      </c>
      <c r="Z25" t="b">
        <f t="shared" si="5"/>
        <v>1</v>
      </c>
      <c r="AA25" t="b">
        <f t="shared" si="6"/>
        <v>0</v>
      </c>
      <c r="AB25" t="b">
        <f t="shared" si="7"/>
        <v>0</v>
      </c>
      <c r="AC25" t="b">
        <f t="shared" si="8"/>
        <v>0</v>
      </c>
      <c r="AD25" t="b">
        <f t="shared" si="9"/>
        <v>0</v>
      </c>
      <c r="AE25" t="b">
        <f t="shared" si="10"/>
        <v>0</v>
      </c>
      <c r="AF25" t="b">
        <f t="shared" si="11"/>
        <v>0</v>
      </c>
      <c r="AG25" t="b">
        <f t="shared" si="12"/>
        <v>0</v>
      </c>
      <c r="AH25" t="b">
        <f t="shared" si="13"/>
        <v>0</v>
      </c>
    </row>
    <row r="26" spans="1:34" x14ac:dyDescent="0.2">
      <c r="A26" s="12" t="s">
        <v>72</v>
      </c>
      <c r="B26" s="12" t="s">
        <v>71</v>
      </c>
      <c r="C26" s="13" t="s">
        <v>71</v>
      </c>
      <c r="D26" s="18">
        <v>2</v>
      </c>
      <c r="E26" s="18">
        <v>2</v>
      </c>
      <c r="F26" s="18">
        <v>2</v>
      </c>
      <c r="G26" s="18">
        <v>2</v>
      </c>
      <c r="H26" s="18">
        <v>2</v>
      </c>
      <c r="I26" s="18">
        <v>0</v>
      </c>
      <c r="J26" s="19">
        <v>1</v>
      </c>
      <c r="K26" s="18">
        <v>2</v>
      </c>
      <c r="L26" s="18">
        <v>1</v>
      </c>
      <c r="M26" s="18">
        <v>2</v>
      </c>
      <c r="N26" s="18">
        <v>2</v>
      </c>
      <c r="O26" s="18">
        <v>2</v>
      </c>
      <c r="P26" s="18">
        <v>0</v>
      </c>
      <c r="Q26" s="17">
        <v>9</v>
      </c>
      <c r="R26">
        <v>2</v>
      </c>
      <c r="S26">
        <v>2</v>
      </c>
      <c r="T26">
        <v>0</v>
      </c>
      <c r="U26" s="14">
        <f t="shared" si="0"/>
        <v>13</v>
      </c>
      <c r="V26" t="b">
        <f t="shared" si="1"/>
        <v>1</v>
      </c>
      <c r="W26" t="b">
        <f t="shared" si="2"/>
        <v>1</v>
      </c>
      <c r="X26" t="b">
        <f t="shared" si="3"/>
        <v>1</v>
      </c>
      <c r="Y26" t="b">
        <f t="shared" si="4"/>
        <v>1</v>
      </c>
      <c r="Z26" t="b">
        <f t="shared" si="5"/>
        <v>1</v>
      </c>
      <c r="AA26" t="b">
        <f t="shared" si="6"/>
        <v>1</v>
      </c>
      <c r="AB26" t="b">
        <f t="shared" si="7"/>
        <v>1</v>
      </c>
      <c r="AC26" t="b">
        <f t="shared" si="8"/>
        <v>1</v>
      </c>
      <c r="AD26" t="b">
        <f t="shared" si="9"/>
        <v>1</v>
      </c>
      <c r="AE26" t="b">
        <f t="shared" si="10"/>
        <v>0</v>
      </c>
      <c r="AF26" t="b">
        <f t="shared" si="11"/>
        <v>0</v>
      </c>
      <c r="AG26" t="b">
        <f t="shared" si="12"/>
        <v>0</v>
      </c>
      <c r="AH26" t="b">
        <f t="shared" si="13"/>
        <v>0</v>
      </c>
    </row>
    <row r="27" spans="1:34" x14ac:dyDescent="0.2">
      <c r="A27" s="12" t="s">
        <v>73</v>
      </c>
      <c r="B27" s="12" t="s">
        <v>74</v>
      </c>
      <c r="C27" s="13" t="s">
        <v>74</v>
      </c>
      <c r="D27" s="18">
        <v>2</v>
      </c>
      <c r="E27" s="18">
        <v>2</v>
      </c>
      <c r="F27" s="18">
        <v>2</v>
      </c>
      <c r="G27" s="18">
        <v>2</v>
      </c>
      <c r="H27" s="18">
        <v>2</v>
      </c>
      <c r="I27" s="18">
        <v>1</v>
      </c>
      <c r="J27" s="19">
        <v>2</v>
      </c>
      <c r="K27" s="18">
        <v>2</v>
      </c>
      <c r="L27" s="18">
        <v>1</v>
      </c>
      <c r="M27" s="18">
        <v>2</v>
      </c>
      <c r="N27" s="18">
        <v>2</v>
      </c>
      <c r="O27" s="18">
        <v>2</v>
      </c>
      <c r="P27" s="18">
        <v>2</v>
      </c>
      <c r="Q27" s="17">
        <v>11</v>
      </c>
      <c r="R27">
        <v>2</v>
      </c>
      <c r="S27">
        <v>0</v>
      </c>
      <c r="T27">
        <v>0</v>
      </c>
      <c r="U27" s="14">
        <f t="shared" si="0"/>
        <v>13</v>
      </c>
      <c r="V27" t="b">
        <f t="shared" si="1"/>
        <v>1</v>
      </c>
      <c r="W27" t="b">
        <f t="shared" si="2"/>
        <v>1</v>
      </c>
      <c r="X27" t="b">
        <f t="shared" si="3"/>
        <v>1</v>
      </c>
      <c r="Y27" t="b">
        <f t="shared" si="4"/>
        <v>1</v>
      </c>
      <c r="Z27" t="b">
        <f t="shared" si="5"/>
        <v>1</v>
      </c>
      <c r="AA27" t="b">
        <f t="shared" si="6"/>
        <v>1</v>
      </c>
      <c r="AB27" t="b">
        <f t="shared" si="7"/>
        <v>1</v>
      </c>
      <c r="AC27" t="b">
        <f t="shared" si="8"/>
        <v>1</v>
      </c>
      <c r="AD27" t="b">
        <f t="shared" si="9"/>
        <v>1</v>
      </c>
      <c r="AE27" t="b">
        <f t="shared" si="10"/>
        <v>1</v>
      </c>
      <c r="AF27" t="b">
        <f t="shared" si="11"/>
        <v>1</v>
      </c>
      <c r="AG27" t="b">
        <f t="shared" si="12"/>
        <v>0</v>
      </c>
      <c r="AH27" t="b">
        <f t="shared" si="13"/>
        <v>0</v>
      </c>
    </row>
    <row r="28" spans="1:34" x14ac:dyDescent="0.2">
      <c r="A28" s="12" t="s">
        <v>75</v>
      </c>
      <c r="B28" s="12" t="s">
        <v>74</v>
      </c>
      <c r="C28" s="13" t="s">
        <v>74</v>
      </c>
      <c r="D28" s="18">
        <v>2</v>
      </c>
      <c r="E28" s="18">
        <v>2</v>
      </c>
      <c r="F28" s="18">
        <v>2</v>
      </c>
      <c r="G28" s="18">
        <v>2</v>
      </c>
      <c r="H28" s="18">
        <v>2</v>
      </c>
      <c r="I28" s="18">
        <v>0</v>
      </c>
      <c r="J28" s="19">
        <v>1</v>
      </c>
      <c r="K28" s="18">
        <v>2</v>
      </c>
      <c r="L28" s="18">
        <v>0</v>
      </c>
      <c r="M28" s="18">
        <v>2</v>
      </c>
      <c r="N28" s="18"/>
      <c r="O28" s="18">
        <v>2</v>
      </c>
      <c r="P28" s="18">
        <v>2</v>
      </c>
      <c r="Q28" s="17">
        <v>9</v>
      </c>
      <c r="R28">
        <v>1</v>
      </c>
      <c r="S28">
        <v>2</v>
      </c>
      <c r="T28">
        <v>1</v>
      </c>
      <c r="U28" s="14">
        <f t="shared" si="0"/>
        <v>13</v>
      </c>
      <c r="V28" t="b">
        <f t="shared" si="1"/>
        <v>1</v>
      </c>
      <c r="W28" t="b">
        <f t="shared" si="2"/>
        <v>1</v>
      </c>
      <c r="X28" t="b">
        <f t="shared" si="3"/>
        <v>1</v>
      </c>
      <c r="Y28" t="b">
        <f t="shared" si="4"/>
        <v>1</v>
      </c>
      <c r="Z28" t="b">
        <f t="shared" si="5"/>
        <v>1</v>
      </c>
      <c r="AA28" t="b">
        <f t="shared" si="6"/>
        <v>1</v>
      </c>
      <c r="AB28" t="b">
        <f t="shared" si="7"/>
        <v>1</v>
      </c>
      <c r="AC28" t="b">
        <f t="shared" si="8"/>
        <v>1</v>
      </c>
      <c r="AD28" t="b">
        <f t="shared" si="9"/>
        <v>1</v>
      </c>
      <c r="AE28" t="b">
        <f t="shared" si="10"/>
        <v>0</v>
      </c>
      <c r="AF28" t="b">
        <f t="shared" si="11"/>
        <v>0</v>
      </c>
      <c r="AG28" t="b">
        <f t="shared" si="12"/>
        <v>0</v>
      </c>
      <c r="AH28" t="b">
        <f t="shared" si="13"/>
        <v>0</v>
      </c>
    </row>
    <row r="29" spans="1:34" x14ac:dyDescent="0.2">
      <c r="A29" s="12" t="s">
        <v>76</v>
      </c>
      <c r="B29" s="12" t="s">
        <v>74</v>
      </c>
      <c r="C29" s="13" t="s">
        <v>74</v>
      </c>
      <c r="D29" s="18">
        <v>2</v>
      </c>
      <c r="E29" s="18">
        <v>2</v>
      </c>
      <c r="F29" s="18">
        <v>2</v>
      </c>
      <c r="G29" s="18">
        <v>2</v>
      </c>
      <c r="H29" s="18">
        <v>2</v>
      </c>
      <c r="I29" s="18">
        <v>1</v>
      </c>
      <c r="J29" s="19">
        <v>1</v>
      </c>
      <c r="K29" s="18">
        <v>2</v>
      </c>
      <c r="L29" s="18">
        <v>1</v>
      </c>
      <c r="M29" s="18">
        <v>2</v>
      </c>
      <c r="N29" s="18">
        <v>2</v>
      </c>
      <c r="O29" s="18">
        <v>2</v>
      </c>
      <c r="P29" s="18">
        <v>2</v>
      </c>
      <c r="Q29" s="17">
        <v>10</v>
      </c>
      <c r="R29">
        <v>3</v>
      </c>
      <c r="S29">
        <v>0</v>
      </c>
      <c r="T29">
        <v>0</v>
      </c>
      <c r="U29" s="14">
        <f t="shared" si="0"/>
        <v>13</v>
      </c>
      <c r="V29" t="b">
        <f t="shared" si="1"/>
        <v>1</v>
      </c>
      <c r="W29" t="b">
        <f t="shared" si="2"/>
        <v>1</v>
      </c>
      <c r="X29" t="b">
        <f t="shared" si="3"/>
        <v>1</v>
      </c>
      <c r="Y29" t="b">
        <f t="shared" si="4"/>
        <v>1</v>
      </c>
      <c r="Z29" t="b">
        <f t="shared" si="5"/>
        <v>1</v>
      </c>
      <c r="AA29" t="b">
        <f t="shared" si="6"/>
        <v>1</v>
      </c>
      <c r="AB29" t="b">
        <f t="shared" si="7"/>
        <v>1</v>
      </c>
      <c r="AC29" t="b">
        <f t="shared" si="8"/>
        <v>1</v>
      </c>
      <c r="AD29" t="b">
        <f t="shared" si="9"/>
        <v>1</v>
      </c>
      <c r="AE29" t="b">
        <f t="shared" si="10"/>
        <v>1</v>
      </c>
      <c r="AF29" t="b">
        <f t="shared" si="11"/>
        <v>0</v>
      </c>
      <c r="AG29" t="b">
        <f t="shared" si="12"/>
        <v>0</v>
      </c>
      <c r="AH29" t="b">
        <f t="shared" si="13"/>
        <v>0</v>
      </c>
    </row>
    <row r="30" spans="1:34" x14ac:dyDescent="0.2">
      <c r="A30" s="12" t="s">
        <v>77</v>
      </c>
      <c r="B30" s="12" t="s">
        <v>78</v>
      </c>
      <c r="C30" s="13" t="s">
        <v>78</v>
      </c>
      <c r="D30" s="18">
        <v>0</v>
      </c>
      <c r="E30" s="18">
        <v>1</v>
      </c>
      <c r="F30" s="18">
        <v>0</v>
      </c>
      <c r="G30" s="18">
        <v>0</v>
      </c>
      <c r="H30" s="18">
        <v>0</v>
      </c>
      <c r="I30" s="18">
        <v>0</v>
      </c>
      <c r="J30" s="19">
        <v>2</v>
      </c>
      <c r="K30" s="18">
        <v>0</v>
      </c>
      <c r="L30" s="18"/>
      <c r="M30" s="18">
        <v>0</v>
      </c>
      <c r="N30" s="18"/>
      <c r="O30" s="18"/>
      <c r="P30" s="18">
        <v>0</v>
      </c>
      <c r="Q30" s="17">
        <v>1</v>
      </c>
      <c r="R30">
        <v>1</v>
      </c>
      <c r="S30">
        <v>8</v>
      </c>
      <c r="T30">
        <v>3</v>
      </c>
      <c r="U30" s="14">
        <f t="shared" si="0"/>
        <v>13</v>
      </c>
      <c r="V30" t="b">
        <f t="shared" si="1"/>
        <v>1</v>
      </c>
      <c r="W30" t="b">
        <f t="shared" si="2"/>
        <v>0</v>
      </c>
      <c r="X30" t="b">
        <f t="shared" si="3"/>
        <v>0</v>
      </c>
      <c r="Y30" t="b">
        <f t="shared" si="4"/>
        <v>0</v>
      </c>
      <c r="Z30" t="b">
        <f t="shared" si="5"/>
        <v>0</v>
      </c>
      <c r="AA30" t="b">
        <f t="shared" si="6"/>
        <v>0</v>
      </c>
      <c r="AB30" t="b">
        <f t="shared" si="7"/>
        <v>0</v>
      </c>
      <c r="AC30" t="b">
        <f t="shared" si="8"/>
        <v>0</v>
      </c>
      <c r="AD30" t="b">
        <f t="shared" si="9"/>
        <v>0</v>
      </c>
      <c r="AE30" t="b">
        <f t="shared" si="10"/>
        <v>0</v>
      </c>
      <c r="AF30" t="b">
        <f t="shared" si="11"/>
        <v>0</v>
      </c>
      <c r="AG30" t="b">
        <f t="shared" si="12"/>
        <v>0</v>
      </c>
      <c r="AH30" t="b">
        <f t="shared" si="13"/>
        <v>0</v>
      </c>
    </row>
    <row r="31" spans="1:34" x14ac:dyDescent="0.2">
      <c r="A31" s="12" t="s">
        <v>79</v>
      </c>
      <c r="B31" s="12" t="s">
        <v>78</v>
      </c>
      <c r="C31" s="13" t="s">
        <v>78</v>
      </c>
      <c r="D31" s="18">
        <v>1</v>
      </c>
      <c r="E31" s="18">
        <v>2</v>
      </c>
      <c r="F31" s="18">
        <v>2</v>
      </c>
      <c r="G31" s="18">
        <v>2</v>
      </c>
      <c r="H31" s="18">
        <v>2</v>
      </c>
      <c r="I31" s="18">
        <v>2</v>
      </c>
      <c r="J31" s="19">
        <v>2</v>
      </c>
      <c r="K31" s="18">
        <v>2</v>
      </c>
      <c r="L31" s="18">
        <v>1</v>
      </c>
      <c r="M31" s="18">
        <v>2</v>
      </c>
      <c r="N31" s="18">
        <v>1</v>
      </c>
      <c r="O31" s="18">
        <v>2</v>
      </c>
      <c r="P31" s="18">
        <v>1</v>
      </c>
      <c r="Q31" s="17">
        <v>9</v>
      </c>
      <c r="R31">
        <v>4</v>
      </c>
      <c r="S31">
        <v>0</v>
      </c>
      <c r="T31">
        <v>0</v>
      </c>
      <c r="U31" s="14">
        <f t="shared" si="0"/>
        <v>13</v>
      </c>
      <c r="V31" t="b">
        <f t="shared" si="1"/>
        <v>1</v>
      </c>
      <c r="W31" t="b">
        <f t="shared" si="2"/>
        <v>1</v>
      </c>
      <c r="X31" t="b">
        <f t="shared" si="3"/>
        <v>1</v>
      </c>
      <c r="Y31" t="b">
        <f t="shared" si="4"/>
        <v>1</v>
      </c>
      <c r="Z31" t="b">
        <f t="shared" si="5"/>
        <v>1</v>
      </c>
      <c r="AA31" t="b">
        <f t="shared" si="6"/>
        <v>1</v>
      </c>
      <c r="AB31" t="b">
        <f t="shared" si="7"/>
        <v>1</v>
      </c>
      <c r="AC31" t="b">
        <f t="shared" si="8"/>
        <v>1</v>
      </c>
      <c r="AD31" t="b">
        <f t="shared" si="9"/>
        <v>1</v>
      </c>
      <c r="AE31" t="b">
        <f t="shared" si="10"/>
        <v>0</v>
      </c>
      <c r="AF31" t="b">
        <f t="shared" si="11"/>
        <v>0</v>
      </c>
      <c r="AG31" t="b">
        <f t="shared" si="12"/>
        <v>0</v>
      </c>
      <c r="AH31" t="b">
        <f t="shared" si="13"/>
        <v>0</v>
      </c>
    </row>
    <row r="32" spans="1:34" x14ac:dyDescent="0.2">
      <c r="A32" s="12" t="s">
        <v>80</v>
      </c>
      <c r="B32" s="12" t="s">
        <v>78</v>
      </c>
      <c r="C32" s="13" t="s">
        <v>78</v>
      </c>
      <c r="D32" s="18">
        <v>1</v>
      </c>
      <c r="E32" s="18">
        <v>1</v>
      </c>
      <c r="F32" s="18">
        <v>1</v>
      </c>
      <c r="G32" s="18">
        <v>2</v>
      </c>
      <c r="H32" s="18">
        <v>0</v>
      </c>
      <c r="I32" s="18">
        <v>0</v>
      </c>
      <c r="J32" s="19">
        <v>1</v>
      </c>
      <c r="K32" s="18">
        <v>0</v>
      </c>
      <c r="L32" s="18">
        <v>2</v>
      </c>
      <c r="M32" s="18">
        <v>1</v>
      </c>
      <c r="N32" s="18"/>
      <c r="O32" s="18">
        <v>0</v>
      </c>
      <c r="P32" s="18">
        <v>0</v>
      </c>
      <c r="Q32" s="17">
        <v>2</v>
      </c>
      <c r="R32">
        <v>5</v>
      </c>
      <c r="S32">
        <v>5</v>
      </c>
      <c r="T32">
        <v>1</v>
      </c>
      <c r="U32" s="14">
        <f t="shared" si="0"/>
        <v>13</v>
      </c>
      <c r="V32" t="b">
        <f t="shared" si="1"/>
        <v>1</v>
      </c>
      <c r="W32" t="b">
        <f t="shared" si="2"/>
        <v>1</v>
      </c>
      <c r="X32" t="b">
        <f t="shared" si="3"/>
        <v>0</v>
      </c>
      <c r="Y32" t="b">
        <f t="shared" si="4"/>
        <v>0</v>
      </c>
      <c r="Z32" t="b">
        <f t="shared" si="5"/>
        <v>0</v>
      </c>
      <c r="AA32" t="b">
        <f t="shared" si="6"/>
        <v>0</v>
      </c>
      <c r="AB32" t="b">
        <f t="shared" si="7"/>
        <v>0</v>
      </c>
      <c r="AC32" t="b">
        <f t="shared" si="8"/>
        <v>0</v>
      </c>
      <c r="AD32" t="b">
        <f t="shared" si="9"/>
        <v>0</v>
      </c>
      <c r="AE32" t="b">
        <f t="shared" si="10"/>
        <v>0</v>
      </c>
      <c r="AF32" t="b">
        <f t="shared" si="11"/>
        <v>0</v>
      </c>
      <c r="AG32" t="b">
        <f t="shared" si="12"/>
        <v>0</v>
      </c>
      <c r="AH32" t="b">
        <f t="shared" si="13"/>
        <v>0</v>
      </c>
    </row>
    <row r="33" spans="1:34" x14ac:dyDescent="0.2">
      <c r="A33" s="12" t="s">
        <v>81</v>
      </c>
      <c r="B33" s="12" t="s">
        <v>78</v>
      </c>
      <c r="C33" s="13" t="s">
        <v>78</v>
      </c>
      <c r="D33" s="18">
        <v>1</v>
      </c>
      <c r="E33" s="18">
        <v>1</v>
      </c>
      <c r="F33" s="18">
        <v>2</v>
      </c>
      <c r="G33" s="18">
        <v>2</v>
      </c>
      <c r="H33" s="18">
        <v>2</v>
      </c>
      <c r="I33" s="18">
        <v>1</v>
      </c>
      <c r="J33" s="19">
        <v>1</v>
      </c>
      <c r="K33" s="18">
        <v>2</v>
      </c>
      <c r="L33" s="18">
        <v>1</v>
      </c>
      <c r="M33" s="18">
        <v>2</v>
      </c>
      <c r="N33" s="18">
        <v>2</v>
      </c>
      <c r="O33" s="18">
        <v>0</v>
      </c>
      <c r="P33" s="18">
        <v>0</v>
      </c>
      <c r="Q33" s="17">
        <v>6</v>
      </c>
      <c r="R33">
        <v>5</v>
      </c>
      <c r="S33">
        <v>2</v>
      </c>
      <c r="T33">
        <v>0</v>
      </c>
      <c r="U33" s="14">
        <f t="shared" si="0"/>
        <v>13</v>
      </c>
      <c r="V33" t="b">
        <f t="shared" si="1"/>
        <v>1</v>
      </c>
      <c r="W33" t="b">
        <f t="shared" si="2"/>
        <v>1</v>
      </c>
      <c r="X33" t="b">
        <f t="shared" si="3"/>
        <v>1</v>
      </c>
      <c r="Y33" t="b">
        <f t="shared" si="4"/>
        <v>1</v>
      </c>
      <c r="Z33" t="b">
        <f t="shared" si="5"/>
        <v>1</v>
      </c>
      <c r="AA33" t="b">
        <f t="shared" si="6"/>
        <v>1</v>
      </c>
      <c r="AB33" t="b">
        <f t="shared" si="7"/>
        <v>0</v>
      </c>
      <c r="AC33" t="b">
        <f t="shared" si="8"/>
        <v>0</v>
      </c>
      <c r="AD33" t="b">
        <f t="shared" si="9"/>
        <v>0</v>
      </c>
      <c r="AE33" t="b">
        <f t="shared" si="10"/>
        <v>0</v>
      </c>
      <c r="AF33" t="b">
        <f t="shared" si="11"/>
        <v>0</v>
      </c>
      <c r="AG33" t="b">
        <f t="shared" si="12"/>
        <v>0</v>
      </c>
      <c r="AH33" t="b">
        <f t="shared" si="13"/>
        <v>0</v>
      </c>
    </row>
    <row r="34" spans="1:34" x14ac:dyDescent="0.2">
      <c r="A34" s="12" t="s">
        <v>82</v>
      </c>
      <c r="B34" s="12" t="s">
        <v>78</v>
      </c>
      <c r="C34" s="13" t="s">
        <v>78</v>
      </c>
      <c r="D34" s="18">
        <v>2</v>
      </c>
      <c r="E34" s="18">
        <v>1</v>
      </c>
      <c r="F34" s="18">
        <v>2</v>
      </c>
      <c r="G34" s="18">
        <v>2</v>
      </c>
      <c r="H34" s="18">
        <v>2</v>
      </c>
      <c r="I34" s="18">
        <v>1</v>
      </c>
      <c r="J34" s="19">
        <v>1</v>
      </c>
      <c r="K34" s="18">
        <v>2</v>
      </c>
      <c r="L34" s="18">
        <v>1</v>
      </c>
      <c r="M34" s="18">
        <v>2</v>
      </c>
      <c r="N34" s="18">
        <v>2</v>
      </c>
      <c r="O34" s="18">
        <v>2</v>
      </c>
      <c r="P34" s="18">
        <v>2</v>
      </c>
      <c r="Q34" s="17">
        <v>9</v>
      </c>
      <c r="R34">
        <v>4</v>
      </c>
      <c r="S34">
        <v>0</v>
      </c>
      <c r="T34">
        <v>0</v>
      </c>
      <c r="U34" s="14">
        <f t="shared" si="0"/>
        <v>13</v>
      </c>
      <c r="V34" t="b">
        <f t="shared" si="1"/>
        <v>1</v>
      </c>
      <c r="W34" t="b">
        <f t="shared" si="2"/>
        <v>1</v>
      </c>
      <c r="X34" t="b">
        <f t="shared" si="3"/>
        <v>1</v>
      </c>
      <c r="Y34" t="b">
        <f t="shared" si="4"/>
        <v>1</v>
      </c>
      <c r="Z34" t="b">
        <f t="shared" si="5"/>
        <v>1</v>
      </c>
      <c r="AA34" t="b">
        <f t="shared" si="6"/>
        <v>1</v>
      </c>
      <c r="AB34" t="b">
        <f t="shared" si="7"/>
        <v>1</v>
      </c>
      <c r="AC34" t="b">
        <f t="shared" si="8"/>
        <v>1</v>
      </c>
      <c r="AD34" t="b">
        <f t="shared" si="9"/>
        <v>1</v>
      </c>
      <c r="AE34" t="b">
        <f t="shared" si="10"/>
        <v>0</v>
      </c>
      <c r="AF34" t="b">
        <f t="shared" si="11"/>
        <v>0</v>
      </c>
      <c r="AG34" t="b">
        <f t="shared" si="12"/>
        <v>0</v>
      </c>
      <c r="AH34" t="b">
        <f t="shared" si="13"/>
        <v>0</v>
      </c>
    </row>
    <row r="35" spans="1:34" x14ac:dyDescent="0.2">
      <c r="A35" s="12" t="s">
        <v>83</v>
      </c>
      <c r="B35" s="12" t="s">
        <v>84</v>
      </c>
      <c r="C35" s="13" t="s">
        <v>44</v>
      </c>
      <c r="D35" s="18">
        <v>1</v>
      </c>
      <c r="E35" s="18">
        <v>0</v>
      </c>
      <c r="F35" s="18">
        <v>1</v>
      </c>
      <c r="G35" s="18">
        <v>2</v>
      </c>
      <c r="H35" s="18">
        <v>0</v>
      </c>
      <c r="I35" s="18">
        <v>0</v>
      </c>
      <c r="J35" s="19">
        <v>0</v>
      </c>
      <c r="K35" s="18">
        <v>1</v>
      </c>
      <c r="L35" s="18">
        <v>1</v>
      </c>
      <c r="M35" s="18">
        <v>2</v>
      </c>
      <c r="N35" s="18"/>
      <c r="O35" s="18">
        <v>1</v>
      </c>
      <c r="P35" s="18">
        <v>0</v>
      </c>
      <c r="Q35" s="17">
        <v>2</v>
      </c>
      <c r="R35">
        <v>5</v>
      </c>
      <c r="S35">
        <v>5</v>
      </c>
      <c r="T35">
        <v>1</v>
      </c>
      <c r="U35" s="14">
        <f t="shared" si="0"/>
        <v>13</v>
      </c>
      <c r="V35" t="b">
        <f t="shared" si="1"/>
        <v>1</v>
      </c>
      <c r="W35" t="b">
        <f t="shared" si="2"/>
        <v>1</v>
      </c>
      <c r="X35" t="b">
        <f t="shared" si="3"/>
        <v>0</v>
      </c>
      <c r="Y35" t="b">
        <f t="shared" si="4"/>
        <v>0</v>
      </c>
      <c r="Z35" t="b">
        <f t="shared" si="5"/>
        <v>0</v>
      </c>
      <c r="AA35" t="b">
        <f t="shared" si="6"/>
        <v>0</v>
      </c>
      <c r="AB35" t="b">
        <f t="shared" si="7"/>
        <v>0</v>
      </c>
      <c r="AC35" t="b">
        <f t="shared" si="8"/>
        <v>0</v>
      </c>
      <c r="AD35" t="b">
        <f t="shared" si="9"/>
        <v>0</v>
      </c>
      <c r="AE35" t="b">
        <f t="shared" si="10"/>
        <v>0</v>
      </c>
      <c r="AF35" t="b">
        <f t="shared" si="11"/>
        <v>0</v>
      </c>
      <c r="AG35" t="b">
        <f t="shared" si="12"/>
        <v>0</v>
      </c>
      <c r="AH35" t="b">
        <f t="shared" si="13"/>
        <v>0</v>
      </c>
    </row>
    <row r="36" spans="1:34" x14ac:dyDescent="0.2">
      <c r="A36" s="12" t="s">
        <v>85</v>
      </c>
      <c r="B36" s="12" t="s">
        <v>84</v>
      </c>
      <c r="C36" s="13" t="s">
        <v>44</v>
      </c>
      <c r="D36" s="18">
        <v>2</v>
      </c>
      <c r="E36" s="18">
        <v>0</v>
      </c>
      <c r="F36" s="18">
        <v>2</v>
      </c>
      <c r="G36" s="18">
        <v>2</v>
      </c>
      <c r="H36" s="18">
        <v>2</v>
      </c>
      <c r="I36" s="18">
        <v>2</v>
      </c>
      <c r="J36" s="19">
        <v>0</v>
      </c>
      <c r="K36" s="18">
        <v>2</v>
      </c>
      <c r="L36" s="18">
        <v>1</v>
      </c>
      <c r="M36" s="18">
        <v>2</v>
      </c>
      <c r="N36" s="18"/>
      <c r="O36" s="18">
        <v>2</v>
      </c>
      <c r="P36" s="18">
        <v>2</v>
      </c>
      <c r="Q36" s="17">
        <v>9</v>
      </c>
      <c r="R36">
        <v>1</v>
      </c>
      <c r="S36">
        <v>2</v>
      </c>
      <c r="T36">
        <v>1</v>
      </c>
      <c r="U36" s="14">
        <f t="shared" si="0"/>
        <v>13</v>
      </c>
      <c r="V36" t="b">
        <f t="shared" si="1"/>
        <v>1</v>
      </c>
      <c r="W36" t="b">
        <f t="shared" si="2"/>
        <v>1</v>
      </c>
      <c r="X36" t="b">
        <f t="shared" si="3"/>
        <v>1</v>
      </c>
      <c r="Y36" t="b">
        <f t="shared" si="4"/>
        <v>1</v>
      </c>
      <c r="Z36" t="b">
        <f t="shared" si="5"/>
        <v>1</v>
      </c>
      <c r="AA36" t="b">
        <f t="shared" si="6"/>
        <v>1</v>
      </c>
      <c r="AB36" t="b">
        <f t="shared" si="7"/>
        <v>1</v>
      </c>
      <c r="AC36" t="b">
        <f t="shared" si="8"/>
        <v>1</v>
      </c>
      <c r="AD36" t="b">
        <f t="shared" si="9"/>
        <v>1</v>
      </c>
      <c r="AE36" t="b">
        <f t="shared" si="10"/>
        <v>0</v>
      </c>
      <c r="AF36" t="b">
        <f t="shared" si="11"/>
        <v>0</v>
      </c>
      <c r="AG36" t="b">
        <f t="shared" si="12"/>
        <v>0</v>
      </c>
      <c r="AH36" t="b">
        <f t="shared" si="13"/>
        <v>0</v>
      </c>
    </row>
    <row r="37" spans="1:34" x14ac:dyDescent="0.2">
      <c r="A37" s="12" t="s">
        <v>67</v>
      </c>
      <c r="B37" s="12" t="s">
        <v>84</v>
      </c>
      <c r="C37" s="13" t="s">
        <v>44</v>
      </c>
      <c r="D37" s="18">
        <v>0</v>
      </c>
      <c r="E37" s="18">
        <v>0</v>
      </c>
      <c r="F37" s="18">
        <v>0</v>
      </c>
      <c r="G37" s="18">
        <v>2</v>
      </c>
      <c r="H37" s="18">
        <v>0</v>
      </c>
      <c r="I37" s="18">
        <v>0</v>
      </c>
      <c r="J37" s="19">
        <v>0</v>
      </c>
      <c r="K37" s="18">
        <v>0</v>
      </c>
      <c r="L37" s="18">
        <v>0</v>
      </c>
      <c r="M37" s="18">
        <v>0</v>
      </c>
      <c r="N37" s="18"/>
      <c r="O37" s="18">
        <v>0</v>
      </c>
      <c r="P37" s="18">
        <v>0</v>
      </c>
      <c r="Q37" s="17">
        <v>1</v>
      </c>
      <c r="R37">
        <v>0</v>
      </c>
      <c r="S37">
        <v>11</v>
      </c>
      <c r="T37">
        <v>1</v>
      </c>
      <c r="U37" s="14">
        <f t="shared" si="0"/>
        <v>13</v>
      </c>
      <c r="V37" t="b">
        <f t="shared" si="1"/>
        <v>1</v>
      </c>
      <c r="W37" t="b">
        <f t="shared" si="2"/>
        <v>0</v>
      </c>
      <c r="X37" t="b">
        <f t="shared" si="3"/>
        <v>0</v>
      </c>
      <c r="Y37" t="b">
        <f t="shared" si="4"/>
        <v>0</v>
      </c>
      <c r="Z37" t="b">
        <f t="shared" si="5"/>
        <v>0</v>
      </c>
      <c r="AA37" t="b">
        <f t="shared" si="6"/>
        <v>0</v>
      </c>
      <c r="AB37" t="b">
        <f t="shared" si="7"/>
        <v>0</v>
      </c>
      <c r="AC37" t="b">
        <f t="shared" si="8"/>
        <v>0</v>
      </c>
      <c r="AD37" t="b">
        <f t="shared" si="9"/>
        <v>0</v>
      </c>
      <c r="AE37" t="b">
        <f t="shared" si="10"/>
        <v>0</v>
      </c>
      <c r="AF37" t="b">
        <f t="shared" si="11"/>
        <v>0</v>
      </c>
      <c r="AG37" t="b">
        <f t="shared" si="12"/>
        <v>0</v>
      </c>
      <c r="AH37" t="b">
        <f t="shared" si="13"/>
        <v>0</v>
      </c>
    </row>
    <row r="38" spans="1:34" x14ac:dyDescent="0.2">
      <c r="A38" s="12" t="s">
        <v>86</v>
      </c>
      <c r="B38" s="12" t="s">
        <v>84</v>
      </c>
      <c r="C38" s="13" t="s">
        <v>44</v>
      </c>
      <c r="D38" s="18">
        <v>1</v>
      </c>
      <c r="E38" s="18">
        <v>0</v>
      </c>
      <c r="F38" s="18">
        <v>1</v>
      </c>
      <c r="G38" s="18">
        <v>2</v>
      </c>
      <c r="H38" s="18">
        <v>2</v>
      </c>
      <c r="I38" s="18">
        <v>1</v>
      </c>
      <c r="J38" s="19">
        <v>1</v>
      </c>
      <c r="K38" s="18">
        <v>1</v>
      </c>
      <c r="L38" s="18">
        <v>1</v>
      </c>
      <c r="M38" s="18">
        <v>2</v>
      </c>
      <c r="N38" s="18">
        <v>1</v>
      </c>
      <c r="O38" s="18">
        <v>2</v>
      </c>
      <c r="P38" s="18">
        <v>1</v>
      </c>
      <c r="Q38" s="17">
        <v>4</v>
      </c>
      <c r="R38">
        <v>8</v>
      </c>
      <c r="S38">
        <v>1</v>
      </c>
      <c r="T38">
        <v>0</v>
      </c>
      <c r="U38" s="14">
        <f t="shared" si="0"/>
        <v>13</v>
      </c>
      <c r="V38" t="b">
        <f t="shared" si="1"/>
        <v>1</v>
      </c>
      <c r="W38" t="b">
        <f t="shared" si="2"/>
        <v>1</v>
      </c>
      <c r="X38" t="b">
        <f t="shared" si="3"/>
        <v>1</v>
      </c>
      <c r="Y38" t="b">
        <f t="shared" si="4"/>
        <v>1</v>
      </c>
      <c r="Z38" t="b">
        <f t="shared" si="5"/>
        <v>0</v>
      </c>
      <c r="AA38" t="b">
        <f t="shared" si="6"/>
        <v>0</v>
      </c>
      <c r="AB38" t="b">
        <f t="shared" si="7"/>
        <v>0</v>
      </c>
      <c r="AC38" t="b">
        <f t="shared" si="8"/>
        <v>0</v>
      </c>
      <c r="AD38" t="b">
        <f t="shared" si="9"/>
        <v>0</v>
      </c>
      <c r="AE38" t="b">
        <f t="shared" si="10"/>
        <v>0</v>
      </c>
      <c r="AF38" t="b">
        <f t="shared" si="11"/>
        <v>0</v>
      </c>
      <c r="AG38" t="b">
        <f t="shared" si="12"/>
        <v>0</v>
      </c>
      <c r="AH38" t="b">
        <f t="shared" si="13"/>
        <v>0</v>
      </c>
    </row>
    <row r="39" spans="1:34" x14ac:dyDescent="0.2">
      <c r="A39" s="12" t="s">
        <v>87</v>
      </c>
      <c r="B39" s="12" t="s">
        <v>84</v>
      </c>
      <c r="C39" s="13" t="s">
        <v>44</v>
      </c>
      <c r="D39" s="18">
        <v>1</v>
      </c>
      <c r="E39" s="18">
        <v>2</v>
      </c>
      <c r="F39" s="18">
        <v>2</v>
      </c>
      <c r="G39" s="18">
        <v>2</v>
      </c>
      <c r="H39" s="18">
        <v>2</v>
      </c>
      <c r="I39" s="18">
        <v>2</v>
      </c>
      <c r="J39" s="19">
        <v>1</v>
      </c>
      <c r="K39" s="18">
        <v>2</v>
      </c>
      <c r="L39" s="18">
        <v>2</v>
      </c>
      <c r="M39" s="18">
        <v>2</v>
      </c>
      <c r="N39" s="18">
        <v>1</v>
      </c>
      <c r="O39" s="18">
        <v>2</v>
      </c>
      <c r="P39" s="18">
        <v>2</v>
      </c>
      <c r="Q39" s="17">
        <v>10</v>
      </c>
      <c r="R39">
        <v>3</v>
      </c>
      <c r="S39">
        <v>0</v>
      </c>
      <c r="T39">
        <v>0</v>
      </c>
      <c r="U39" s="14">
        <f t="shared" si="0"/>
        <v>13</v>
      </c>
      <c r="V39" t="b">
        <f t="shared" si="1"/>
        <v>1</v>
      </c>
      <c r="W39" t="b">
        <f t="shared" si="2"/>
        <v>1</v>
      </c>
      <c r="X39" t="b">
        <f t="shared" si="3"/>
        <v>1</v>
      </c>
      <c r="Y39" t="b">
        <f t="shared" si="4"/>
        <v>1</v>
      </c>
      <c r="Z39" t="b">
        <f t="shared" si="5"/>
        <v>1</v>
      </c>
      <c r="AA39" t="b">
        <f t="shared" si="6"/>
        <v>1</v>
      </c>
      <c r="AB39" t="b">
        <f t="shared" si="7"/>
        <v>1</v>
      </c>
      <c r="AC39" t="b">
        <f t="shared" si="8"/>
        <v>1</v>
      </c>
      <c r="AD39" t="b">
        <f t="shared" si="9"/>
        <v>1</v>
      </c>
      <c r="AE39" t="b">
        <f t="shared" si="10"/>
        <v>1</v>
      </c>
      <c r="AF39" t="b">
        <f t="shared" si="11"/>
        <v>0</v>
      </c>
      <c r="AG39" t="b">
        <f t="shared" si="12"/>
        <v>0</v>
      </c>
      <c r="AH39" t="b">
        <f t="shared" si="13"/>
        <v>0</v>
      </c>
    </row>
    <row r="40" spans="1:34" x14ac:dyDescent="0.2">
      <c r="A40" s="12" t="s">
        <v>88</v>
      </c>
      <c r="B40" s="12" t="s">
        <v>84</v>
      </c>
      <c r="C40" s="13" t="s">
        <v>44</v>
      </c>
      <c r="D40" s="18">
        <v>0</v>
      </c>
      <c r="E40" s="18">
        <v>2</v>
      </c>
      <c r="F40" s="18">
        <v>1</v>
      </c>
      <c r="G40" s="18">
        <v>2</v>
      </c>
      <c r="H40" s="18">
        <v>0</v>
      </c>
      <c r="I40" s="18">
        <v>0</v>
      </c>
      <c r="J40" s="19">
        <v>0</v>
      </c>
      <c r="K40" s="18">
        <v>0</v>
      </c>
      <c r="L40" s="18">
        <v>1</v>
      </c>
      <c r="M40" s="18">
        <v>2</v>
      </c>
      <c r="N40" s="18"/>
      <c r="O40" s="18">
        <v>0</v>
      </c>
      <c r="P40" s="18">
        <v>0</v>
      </c>
      <c r="Q40" s="17">
        <v>3</v>
      </c>
      <c r="R40">
        <v>2</v>
      </c>
      <c r="S40">
        <v>7</v>
      </c>
      <c r="T40">
        <v>1</v>
      </c>
      <c r="U40" s="14">
        <f t="shared" si="0"/>
        <v>13</v>
      </c>
      <c r="V40" t="b">
        <f t="shared" si="1"/>
        <v>1</v>
      </c>
      <c r="W40" t="b">
        <f t="shared" si="2"/>
        <v>1</v>
      </c>
      <c r="X40" t="b">
        <f t="shared" si="3"/>
        <v>1</v>
      </c>
      <c r="Y40" t="b">
        <f t="shared" si="4"/>
        <v>0</v>
      </c>
      <c r="Z40" t="b">
        <f t="shared" si="5"/>
        <v>0</v>
      </c>
      <c r="AA40" t="b">
        <f t="shared" si="6"/>
        <v>0</v>
      </c>
      <c r="AB40" t="b">
        <f t="shared" si="7"/>
        <v>0</v>
      </c>
      <c r="AC40" t="b">
        <f t="shared" si="8"/>
        <v>0</v>
      </c>
      <c r="AD40" t="b">
        <f t="shared" si="9"/>
        <v>0</v>
      </c>
      <c r="AE40" t="b">
        <f t="shared" si="10"/>
        <v>0</v>
      </c>
      <c r="AF40" t="b">
        <f t="shared" si="11"/>
        <v>0</v>
      </c>
      <c r="AG40" t="b">
        <f t="shared" si="12"/>
        <v>0</v>
      </c>
      <c r="AH40" t="b">
        <f t="shared" si="13"/>
        <v>0</v>
      </c>
    </row>
    <row r="41" spans="1:34" x14ac:dyDescent="0.2">
      <c r="A41" s="12" t="s">
        <v>89</v>
      </c>
      <c r="B41" s="12" t="s">
        <v>84</v>
      </c>
      <c r="C41" s="13" t="s">
        <v>44</v>
      </c>
      <c r="D41" s="18">
        <v>0</v>
      </c>
      <c r="E41" s="18">
        <v>1</v>
      </c>
      <c r="F41" s="18">
        <v>1</v>
      </c>
      <c r="G41" s="18">
        <v>2</v>
      </c>
      <c r="H41" s="18">
        <v>1</v>
      </c>
      <c r="I41" s="18">
        <v>0</v>
      </c>
      <c r="J41" s="19">
        <v>1</v>
      </c>
      <c r="K41" s="18">
        <v>0</v>
      </c>
      <c r="L41" s="18">
        <v>1</v>
      </c>
      <c r="M41" s="18">
        <v>1</v>
      </c>
      <c r="N41" s="18">
        <v>1</v>
      </c>
      <c r="O41" s="18">
        <v>2</v>
      </c>
      <c r="P41" s="18">
        <v>1</v>
      </c>
      <c r="Q41" s="17">
        <v>2</v>
      </c>
      <c r="R41">
        <v>8</v>
      </c>
      <c r="S41">
        <v>3</v>
      </c>
      <c r="T41">
        <v>0</v>
      </c>
      <c r="U41" s="14">
        <f t="shared" si="0"/>
        <v>13</v>
      </c>
      <c r="V41" t="b">
        <f t="shared" si="1"/>
        <v>1</v>
      </c>
      <c r="W41" t="b">
        <f t="shared" si="2"/>
        <v>1</v>
      </c>
      <c r="X41" t="b">
        <f t="shared" si="3"/>
        <v>0</v>
      </c>
      <c r="Y41" t="b">
        <f t="shared" si="4"/>
        <v>0</v>
      </c>
      <c r="Z41" t="b">
        <f t="shared" si="5"/>
        <v>0</v>
      </c>
      <c r="AA41" t="b">
        <f t="shared" si="6"/>
        <v>0</v>
      </c>
      <c r="AB41" t="b">
        <f t="shared" si="7"/>
        <v>0</v>
      </c>
      <c r="AC41" t="b">
        <f t="shared" si="8"/>
        <v>0</v>
      </c>
      <c r="AD41" t="b">
        <f t="shared" si="9"/>
        <v>0</v>
      </c>
      <c r="AE41" t="b">
        <f t="shared" si="10"/>
        <v>0</v>
      </c>
      <c r="AF41" t="b">
        <f t="shared" si="11"/>
        <v>0</v>
      </c>
      <c r="AG41" t="b">
        <f t="shared" si="12"/>
        <v>0</v>
      </c>
      <c r="AH41" t="b">
        <f t="shared" si="13"/>
        <v>0</v>
      </c>
    </row>
    <row r="42" spans="1:34" x14ac:dyDescent="0.2">
      <c r="A42" s="12" t="s">
        <v>90</v>
      </c>
      <c r="B42" s="12" t="s">
        <v>84</v>
      </c>
      <c r="C42" s="13" t="s">
        <v>44</v>
      </c>
      <c r="D42" s="18">
        <v>0</v>
      </c>
      <c r="E42" s="18">
        <v>2</v>
      </c>
      <c r="F42" s="18">
        <v>1</v>
      </c>
      <c r="G42" s="18">
        <v>2</v>
      </c>
      <c r="H42" s="18">
        <v>2</v>
      </c>
      <c r="I42" s="18">
        <v>0</v>
      </c>
      <c r="J42" s="19">
        <v>1</v>
      </c>
      <c r="K42" s="18">
        <v>1</v>
      </c>
      <c r="L42" s="18">
        <v>2</v>
      </c>
      <c r="M42" s="18">
        <v>1</v>
      </c>
      <c r="N42" s="18"/>
      <c r="O42" s="18">
        <v>2</v>
      </c>
      <c r="P42" s="18">
        <v>0</v>
      </c>
      <c r="Q42" s="17">
        <v>5</v>
      </c>
      <c r="R42">
        <v>4</v>
      </c>
      <c r="S42">
        <v>3</v>
      </c>
      <c r="T42">
        <v>1</v>
      </c>
      <c r="U42" s="14">
        <f t="shared" si="0"/>
        <v>13</v>
      </c>
      <c r="V42" t="b">
        <f t="shared" si="1"/>
        <v>1</v>
      </c>
      <c r="W42" t="b">
        <f t="shared" si="2"/>
        <v>1</v>
      </c>
      <c r="X42" t="b">
        <f t="shared" si="3"/>
        <v>1</v>
      </c>
      <c r="Y42" t="b">
        <f t="shared" si="4"/>
        <v>1</v>
      </c>
      <c r="Z42" t="b">
        <f t="shared" si="5"/>
        <v>1</v>
      </c>
      <c r="AA42" t="b">
        <f t="shared" si="6"/>
        <v>0</v>
      </c>
      <c r="AB42" t="b">
        <f t="shared" si="7"/>
        <v>0</v>
      </c>
      <c r="AC42" t="b">
        <f t="shared" si="8"/>
        <v>0</v>
      </c>
      <c r="AD42" t="b">
        <f t="shared" si="9"/>
        <v>0</v>
      </c>
      <c r="AE42" t="b">
        <f t="shared" si="10"/>
        <v>0</v>
      </c>
      <c r="AF42" t="b">
        <f t="shared" si="11"/>
        <v>0</v>
      </c>
      <c r="AG42" t="b">
        <f t="shared" si="12"/>
        <v>0</v>
      </c>
      <c r="AH42" t="b">
        <f t="shared" si="13"/>
        <v>0</v>
      </c>
    </row>
    <row r="43" spans="1:34" x14ac:dyDescent="0.2">
      <c r="A43" s="12" t="s">
        <v>91</v>
      </c>
      <c r="B43" s="12" t="s">
        <v>92</v>
      </c>
      <c r="C43" s="13" t="s">
        <v>92</v>
      </c>
      <c r="D43" s="18">
        <v>1</v>
      </c>
      <c r="E43" s="18">
        <v>0</v>
      </c>
      <c r="F43" s="18">
        <v>2</v>
      </c>
      <c r="G43" s="18">
        <v>2</v>
      </c>
      <c r="H43" s="18">
        <v>2</v>
      </c>
      <c r="I43" s="18">
        <v>0</v>
      </c>
      <c r="J43" s="19">
        <v>1</v>
      </c>
      <c r="K43" s="18">
        <v>2</v>
      </c>
      <c r="L43" s="18">
        <v>1</v>
      </c>
      <c r="M43" s="18">
        <v>2</v>
      </c>
      <c r="N43" s="18">
        <v>2</v>
      </c>
      <c r="O43" s="18">
        <v>0</v>
      </c>
      <c r="P43" s="18">
        <v>1</v>
      </c>
      <c r="Q43" s="17">
        <v>6</v>
      </c>
      <c r="R43">
        <v>4</v>
      </c>
      <c r="S43">
        <v>3</v>
      </c>
      <c r="T43">
        <v>0</v>
      </c>
      <c r="U43" s="14">
        <f t="shared" si="0"/>
        <v>13</v>
      </c>
      <c r="V43" t="b">
        <f t="shared" si="1"/>
        <v>1</v>
      </c>
      <c r="W43" t="b">
        <f t="shared" si="2"/>
        <v>1</v>
      </c>
      <c r="X43" t="b">
        <f t="shared" si="3"/>
        <v>1</v>
      </c>
      <c r="Y43" t="b">
        <f t="shared" si="4"/>
        <v>1</v>
      </c>
      <c r="Z43" t="b">
        <f t="shared" si="5"/>
        <v>1</v>
      </c>
      <c r="AA43" t="b">
        <f t="shared" si="6"/>
        <v>1</v>
      </c>
      <c r="AB43" t="b">
        <f t="shared" si="7"/>
        <v>0</v>
      </c>
      <c r="AC43" t="b">
        <f t="shared" si="8"/>
        <v>0</v>
      </c>
      <c r="AD43" t="b">
        <f t="shared" si="9"/>
        <v>0</v>
      </c>
      <c r="AE43" t="b">
        <f t="shared" si="10"/>
        <v>0</v>
      </c>
      <c r="AF43" t="b">
        <f t="shared" si="11"/>
        <v>0</v>
      </c>
      <c r="AG43" t="b">
        <f t="shared" si="12"/>
        <v>0</v>
      </c>
      <c r="AH43" t="b">
        <f t="shared" si="13"/>
        <v>0</v>
      </c>
    </row>
    <row r="44" spans="1:34" x14ac:dyDescent="0.2">
      <c r="A44" s="12" t="s">
        <v>93</v>
      </c>
      <c r="B44" s="12" t="s">
        <v>92</v>
      </c>
      <c r="C44" s="13" t="s">
        <v>92</v>
      </c>
      <c r="D44" s="18">
        <v>0</v>
      </c>
      <c r="E44" s="18">
        <v>0</v>
      </c>
      <c r="F44" s="18">
        <v>1</v>
      </c>
      <c r="G44" s="18">
        <v>2</v>
      </c>
      <c r="H44" s="18">
        <v>1</v>
      </c>
      <c r="I44" s="18">
        <v>0</v>
      </c>
      <c r="J44" s="19">
        <v>2</v>
      </c>
      <c r="K44" s="18">
        <v>0</v>
      </c>
      <c r="L44" s="18"/>
      <c r="M44" s="18">
        <v>2</v>
      </c>
      <c r="N44" s="18">
        <v>2</v>
      </c>
      <c r="O44" s="18">
        <v>0</v>
      </c>
      <c r="P44" s="18">
        <v>0</v>
      </c>
      <c r="Q44" s="17">
        <v>4</v>
      </c>
      <c r="R44">
        <v>2</v>
      </c>
      <c r="S44">
        <v>6</v>
      </c>
      <c r="T44">
        <v>1</v>
      </c>
      <c r="U44" s="14">
        <f t="shared" si="0"/>
        <v>13</v>
      </c>
      <c r="V44" t="b">
        <f t="shared" si="1"/>
        <v>1</v>
      </c>
      <c r="W44" t="b">
        <f t="shared" si="2"/>
        <v>1</v>
      </c>
      <c r="X44" t="b">
        <f t="shared" si="3"/>
        <v>1</v>
      </c>
      <c r="Y44" t="b">
        <f t="shared" si="4"/>
        <v>1</v>
      </c>
      <c r="Z44" t="b">
        <f t="shared" si="5"/>
        <v>0</v>
      </c>
      <c r="AA44" t="b">
        <f t="shared" si="6"/>
        <v>0</v>
      </c>
      <c r="AB44" t="b">
        <f t="shared" si="7"/>
        <v>0</v>
      </c>
      <c r="AC44" t="b">
        <f t="shared" si="8"/>
        <v>0</v>
      </c>
      <c r="AD44" t="b">
        <f t="shared" si="9"/>
        <v>0</v>
      </c>
      <c r="AE44" t="b">
        <f t="shared" si="10"/>
        <v>0</v>
      </c>
      <c r="AF44" t="b">
        <f t="shared" si="11"/>
        <v>0</v>
      </c>
      <c r="AG44" t="b">
        <f t="shared" si="12"/>
        <v>0</v>
      </c>
      <c r="AH44" t="b">
        <f t="shared" si="13"/>
        <v>0</v>
      </c>
    </row>
    <row r="45" spans="1:34" x14ac:dyDescent="0.2">
      <c r="A45" s="12" t="s">
        <v>94</v>
      </c>
      <c r="B45" s="12" t="s">
        <v>95</v>
      </c>
      <c r="C45" s="13" t="s">
        <v>96</v>
      </c>
      <c r="D45" s="18">
        <v>1</v>
      </c>
      <c r="E45" s="18">
        <v>1</v>
      </c>
      <c r="F45" s="18">
        <v>2</v>
      </c>
      <c r="G45" s="18">
        <v>2</v>
      </c>
      <c r="H45" s="18">
        <v>0</v>
      </c>
      <c r="I45" s="18">
        <v>1</v>
      </c>
      <c r="J45" s="19">
        <v>2</v>
      </c>
      <c r="K45" s="18">
        <v>0</v>
      </c>
      <c r="L45" s="18">
        <v>1</v>
      </c>
      <c r="M45" s="18">
        <v>2</v>
      </c>
      <c r="N45" s="18">
        <v>1</v>
      </c>
      <c r="O45" s="18">
        <v>2</v>
      </c>
      <c r="P45" s="18">
        <v>0</v>
      </c>
      <c r="Q45" s="17">
        <v>5</v>
      </c>
      <c r="R45">
        <v>5</v>
      </c>
      <c r="S45">
        <v>3</v>
      </c>
      <c r="T45">
        <v>0</v>
      </c>
      <c r="U45" s="14">
        <f t="shared" si="0"/>
        <v>13</v>
      </c>
      <c r="V45" t="b">
        <f t="shared" si="1"/>
        <v>1</v>
      </c>
      <c r="W45" t="b">
        <f t="shared" si="2"/>
        <v>1</v>
      </c>
      <c r="X45" t="b">
        <f t="shared" si="3"/>
        <v>1</v>
      </c>
      <c r="Y45" t="b">
        <f t="shared" si="4"/>
        <v>1</v>
      </c>
      <c r="Z45" t="b">
        <f t="shared" si="5"/>
        <v>1</v>
      </c>
      <c r="AA45" t="b">
        <f t="shared" si="6"/>
        <v>0</v>
      </c>
      <c r="AB45" t="b">
        <f t="shared" si="7"/>
        <v>0</v>
      </c>
      <c r="AC45" t="b">
        <f t="shared" si="8"/>
        <v>0</v>
      </c>
      <c r="AD45" t="b">
        <f t="shared" si="9"/>
        <v>0</v>
      </c>
      <c r="AE45" t="b">
        <f t="shared" si="10"/>
        <v>0</v>
      </c>
      <c r="AF45" t="b">
        <f t="shared" si="11"/>
        <v>0</v>
      </c>
      <c r="AG45" t="b">
        <f t="shared" si="12"/>
        <v>0</v>
      </c>
      <c r="AH45" t="b">
        <f t="shared" si="13"/>
        <v>0</v>
      </c>
    </row>
    <row r="46" spans="1:34" x14ac:dyDescent="0.2">
      <c r="A46" s="12" t="s">
        <v>97</v>
      </c>
      <c r="B46" s="12" t="s">
        <v>98</v>
      </c>
      <c r="C46" s="13" t="s">
        <v>98</v>
      </c>
      <c r="D46" s="18">
        <v>1</v>
      </c>
      <c r="E46" s="18">
        <v>2</v>
      </c>
      <c r="F46" s="18">
        <v>2</v>
      </c>
      <c r="G46" s="18">
        <v>2</v>
      </c>
      <c r="H46" s="18">
        <v>2</v>
      </c>
      <c r="I46" s="18">
        <v>1</v>
      </c>
      <c r="J46" s="19">
        <v>2</v>
      </c>
      <c r="K46" s="18">
        <v>2</v>
      </c>
      <c r="L46" s="18"/>
      <c r="M46" s="18">
        <v>0</v>
      </c>
      <c r="N46" s="18">
        <v>1</v>
      </c>
      <c r="O46" s="18">
        <v>2</v>
      </c>
      <c r="P46" s="18">
        <v>2</v>
      </c>
      <c r="Q46" s="17">
        <v>8</v>
      </c>
      <c r="R46">
        <v>3</v>
      </c>
      <c r="S46">
        <v>1</v>
      </c>
      <c r="T46">
        <v>1</v>
      </c>
      <c r="U46" s="14">
        <f t="shared" si="0"/>
        <v>13</v>
      </c>
      <c r="V46" t="b">
        <f t="shared" si="1"/>
        <v>1</v>
      </c>
      <c r="W46" t="b">
        <f t="shared" si="2"/>
        <v>1</v>
      </c>
      <c r="X46" t="b">
        <f t="shared" si="3"/>
        <v>1</v>
      </c>
      <c r="Y46" t="b">
        <f t="shared" si="4"/>
        <v>1</v>
      </c>
      <c r="Z46" t="b">
        <f t="shared" si="5"/>
        <v>1</v>
      </c>
      <c r="AA46" t="b">
        <f t="shared" si="6"/>
        <v>1</v>
      </c>
      <c r="AB46" t="b">
        <f t="shared" si="7"/>
        <v>1</v>
      </c>
      <c r="AC46" t="b">
        <f t="shared" si="8"/>
        <v>1</v>
      </c>
      <c r="AD46" t="b">
        <f t="shared" si="9"/>
        <v>0</v>
      </c>
      <c r="AE46" t="b">
        <f t="shared" si="10"/>
        <v>0</v>
      </c>
      <c r="AF46" t="b">
        <f t="shared" si="11"/>
        <v>0</v>
      </c>
      <c r="AG46" t="b">
        <f t="shared" si="12"/>
        <v>0</v>
      </c>
      <c r="AH46" t="b">
        <f t="shared" si="13"/>
        <v>0</v>
      </c>
    </row>
    <row r="47" spans="1:34" x14ac:dyDescent="0.2">
      <c r="A47" s="12" t="s">
        <v>99</v>
      </c>
      <c r="B47" s="12" t="s">
        <v>98</v>
      </c>
      <c r="C47" s="13" t="s">
        <v>98</v>
      </c>
      <c r="D47" s="18">
        <v>2</v>
      </c>
      <c r="E47" s="18">
        <v>0</v>
      </c>
      <c r="F47" s="18">
        <v>2</v>
      </c>
      <c r="G47" s="18">
        <v>2</v>
      </c>
      <c r="H47" s="18">
        <v>2</v>
      </c>
      <c r="I47" s="18">
        <v>1</v>
      </c>
      <c r="J47" s="19">
        <v>2</v>
      </c>
      <c r="K47" s="18">
        <v>2</v>
      </c>
      <c r="L47" s="18">
        <v>1</v>
      </c>
      <c r="M47" s="18">
        <v>2</v>
      </c>
      <c r="N47" s="18">
        <v>1</v>
      </c>
      <c r="O47" s="18">
        <v>2</v>
      </c>
      <c r="P47" s="18">
        <v>1</v>
      </c>
      <c r="Q47" s="17">
        <v>8</v>
      </c>
      <c r="R47">
        <v>4</v>
      </c>
      <c r="S47">
        <v>1</v>
      </c>
      <c r="T47">
        <v>0</v>
      </c>
      <c r="U47" s="14">
        <f t="shared" si="0"/>
        <v>13</v>
      </c>
      <c r="V47" t="b">
        <f t="shared" si="1"/>
        <v>1</v>
      </c>
      <c r="W47" t="b">
        <f t="shared" si="2"/>
        <v>1</v>
      </c>
      <c r="X47" t="b">
        <f t="shared" si="3"/>
        <v>1</v>
      </c>
      <c r="Y47" t="b">
        <f t="shared" si="4"/>
        <v>1</v>
      </c>
      <c r="Z47" t="b">
        <f t="shared" si="5"/>
        <v>1</v>
      </c>
      <c r="AA47" t="b">
        <f t="shared" si="6"/>
        <v>1</v>
      </c>
      <c r="AB47" t="b">
        <f t="shared" si="7"/>
        <v>1</v>
      </c>
      <c r="AC47" t="b">
        <f t="shared" si="8"/>
        <v>1</v>
      </c>
      <c r="AD47" t="b">
        <f t="shared" si="9"/>
        <v>0</v>
      </c>
      <c r="AE47" t="b">
        <f t="shared" si="10"/>
        <v>0</v>
      </c>
      <c r="AF47" t="b">
        <f t="shared" si="11"/>
        <v>0</v>
      </c>
      <c r="AG47" t="b">
        <f t="shared" si="12"/>
        <v>0</v>
      </c>
      <c r="AH47" t="b">
        <f t="shared" si="13"/>
        <v>0</v>
      </c>
    </row>
    <row r="48" spans="1:34" x14ac:dyDescent="0.2">
      <c r="A48" s="12" t="s">
        <v>100</v>
      </c>
      <c r="B48" s="12" t="s">
        <v>101</v>
      </c>
      <c r="C48" s="13" t="s">
        <v>101</v>
      </c>
      <c r="D48" s="18"/>
      <c r="E48" s="18">
        <v>2</v>
      </c>
      <c r="F48" s="18">
        <v>0</v>
      </c>
      <c r="G48" s="18">
        <v>0</v>
      </c>
      <c r="H48" s="18">
        <v>0</v>
      </c>
      <c r="I48" s="18">
        <v>1</v>
      </c>
      <c r="J48" s="19">
        <v>1</v>
      </c>
      <c r="K48" s="18">
        <v>0</v>
      </c>
      <c r="L48" s="18"/>
      <c r="M48" s="18">
        <v>0</v>
      </c>
      <c r="N48" s="18"/>
      <c r="O48" s="18">
        <v>0</v>
      </c>
      <c r="P48" s="18">
        <v>0</v>
      </c>
      <c r="Q48" s="17">
        <v>1</v>
      </c>
      <c r="R48">
        <v>2</v>
      </c>
      <c r="S48">
        <v>7</v>
      </c>
      <c r="T48">
        <v>3</v>
      </c>
      <c r="U48" s="14">
        <f t="shared" si="0"/>
        <v>13</v>
      </c>
      <c r="V48" t="b">
        <f t="shared" si="1"/>
        <v>1</v>
      </c>
      <c r="W48" t="b">
        <f t="shared" si="2"/>
        <v>0</v>
      </c>
      <c r="X48" t="b">
        <f t="shared" si="3"/>
        <v>0</v>
      </c>
      <c r="Y48" t="b">
        <f t="shared" si="4"/>
        <v>0</v>
      </c>
      <c r="Z48" t="b">
        <f t="shared" si="5"/>
        <v>0</v>
      </c>
      <c r="AA48" t="b">
        <f t="shared" si="6"/>
        <v>0</v>
      </c>
      <c r="AB48" t="b">
        <f t="shared" si="7"/>
        <v>0</v>
      </c>
      <c r="AC48" t="b">
        <f t="shared" si="8"/>
        <v>0</v>
      </c>
      <c r="AD48" t="b">
        <f t="shared" si="9"/>
        <v>0</v>
      </c>
      <c r="AE48" t="b">
        <f t="shared" si="10"/>
        <v>0</v>
      </c>
      <c r="AF48" t="b">
        <f t="shared" si="11"/>
        <v>0</v>
      </c>
      <c r="AG48" t="b">
        <f t="shared" si="12"/>
        <v>0</v>
      </c>
      <c r="AH48" t="b">
        <f t="shared" si="13"/>
        <v>0</v>
      </c>
    </row>
    <row r="49" spans="1:34" x14ac:dyDescent="0.2">
      <c r="A49" s="12" t="s">
        <v>102</v>
      </c>
      <c r="B49" s="12" t="s">
        <v>101</v>
      </c>
      <c r="C49" s="13" t="s">
        <v>101</v>
      </c>
      <c r="D49" s="18">
        <v>1</v>
      </c>
      <c r="E49" s="18">
        <v>2</v>
      </c>
      <c r="F49" s="18">
        <v>1</v>
      </c>
      <c r="G49" s="18">
        <v>2</v>
      </c>
      <c r="H49" s="18"/>
      <c r="I49" s="18">
        <v>0</v>
      </c>
      <c r="J49" s="19">
        <v>1</v>
      </c>
      <c r="K49" s="18">
        <v>0</v>
      </c>
      <c r="L49" s="18">
        <v>2</v>
      </c>
      <c r="M49" s="18">
        <v>1</v>
      </c>
      <c r="N49" s="18"/>
      <c r="O49" s="18">
        <v>2</v>
      </c>
      <c r="P49" s="18">
        <v>0</v>
      </c>
      <c r="Q49" s="17">
        <v>4</v>
      </c>
      <c r="R49">
        <v>4</v>
      </c>
      <c r="S49">
        <v>3</v>
      </c>
      <c r="T49">
        <v>2</v>
      </c>
      <c r="U49" s="14">
        <f t="shared" si="0"/>
        <v>13</v>
      </c>
      <c r="V49" t="b">
        <f t="shared" si="1"/>
        <v>1</v>
      </c>
      <c r="W49" t="b">
        <f t="shared" si="2"/>
        <v>1</v>
      </c>
      <c r="X49" t="b">
        <f t="shared" si="3"/>
        <v>1</v>
      </c>
      <c r="Y49" t="b">
        <f t="shared" si="4"/>
        <v>1</v>
      </c>
      <c r="Z49" t="b">
        <f t="shared" si="5"/>
        <v>0</v>
      </c>
      <c r="AA49" t="b">
        <f t="shared" si="6"/>
        <v>0</v>
      </c>
      <c r="AB49" t="b">
        <f t="shared" si="7"/>
        <v>0</v>
      </c>
      <c r="AC49" t="b">
        <f t="shared" si="8"/>
        <v>0</v>
      </c>
      <c r="AD49" t="b">
        <f t="shared" si="9"/>
        <v>0</v>
      </c>
      <c r="AE49" t="b">
        <f t="shared" si="10"/>
        <v>0</v>
      </c>
      <c r="AF49" t="b">
        <f t="shared" si="11"/>
        <v>0</v>
      </c>
      <c r="AG49" t="b">
        <f t="shared" si="12"/>
        <v>0</v>
      </c>
      <c r="AH49" t="b">
        <f t="shared" si="13"/>
        <v>0</v>
      </c>
    </row>
    <row r="50" spans="1:34" x14ac:dyDescent="0.2">
      <c r="A50" s="12" t="s">
        <v>103</v>
      </c>
      <c r="B50" s="12" t="s">
        <v>101</v>
      </c>
      <c r="C50" s="13" t="s">
        <v>101</v>
      </c>
      <c r="D50" s="18">
        <v>1</v>
      </c>
      <c r="E50" s="18">
        <v>0</v>
      </c>
      <c r="F50" s="18">
        <v>1</v>
      </c>
      <c r="G50" s="18">
        <v>2</v>
      </c>
      <c r="H50" s="18">
        <v>0</v>
      </c>
      <c r="I50" s="18">
        <v>0</v>
      </c>
      <c r="J50" s="19">
        <v>1</v>
      </c>
      <c r="K50" s="18">
        <v>1</v>
      </c>
      <c r="L50" s="18">
        <v>1</v>
      </c>
      <c r="M50" s="18">
        <v>1</v>
      </c>
      <c r="N50" s="18">
        <v>1</v>
      </c>
      <c r="O50" s="18">
        <v>2</v>
      </c>
      <c r="P50" s="18">
        <v>1</v>
      </c>
      <c r="Q50" s="17">
        <v>2</v>
      </c>
      <c r="R50">
        <v>8</v>
      </c>
      <c r="S50">
        <v>3</v>
      </c>
      <c r="T50">
        <v>0</v>
      </c>
      <c r="U50" s="14">
        <f t="shared" si="0"/>
        <v>13</v>
      </c>
      <c r="V50" t="b">
        <f t="shared" si="1"/>
        <v>1</v>
      </c>
      <c r="W50" t="b">
        <f t="shared" si="2"/>
        <v>1</v>
      </c>
      <c r="X50" t="b">
        <f t="shared" si="3"/>
        <v>0</v>
      </c>
      <c r="Y50" t="b">
        <f t="shared" si="4"/>
        <v>0</v>
      </c>
      <c r="Z50" t="b">
        <f t="shared" si="5"/>
        <v>0</v>
      </c>
      <c r="AA50" t="b">
        <f t="shared" si="6"/>
        <v>0</v>
      </c>
      <c r="AB50" t="b">
        <f t="shared" si="7"/>
        <v>0</v>
      </c>
      <c r="AC50" t="b">
        <f t="shared" si="8"/>
        <v>0</v>
      </c>
      <c r="AD50" t="b">
        <f t="shared" si="9"/>
        <v>0</v>
      </c>
      <c r="AE50" t="b">
        <f t="shared" si="10"/>
        <v>0</v>
      </c>
      <c r="AF50" t="b">
        <f t="shared" si="11"/>
        <v>0</v>
      </c>
      <c r="AG50" t="b">
        <f t="shared" si="12"/>
        <v>0</v>
      </c>
      <c r="AH50" t="b">
        <f t="shared" si="13"/>
        <v>0</v>
      </c>
    </row>
    <row r="51" spans="1:34" x14ac:dyDescent="0.2">
      <c r="A51" s="12" t="s">
        <v>104</v>
      </c>
      <c r="B51" s="12" t="s">
        <v>101</v>
      </c>
      <c r="C51" s="13" t="s">
        <v>101</v>
      </c>
      <c r="D51" s="18">
        <v>2</v>
      </c>
      <c r="E51" s="18">
        <v>1</v>
      </c>
      <c r="F51" s="18">
        <v>2</v>
      </c>
      <c r="G51" s="18">
        <v>2</v>
      </c>
      <c r="H51" s="18">
        <v>2</v>
      </c>
      <c r="I51" s="18">
        <v>2</v>
      </c>
      <c r="J51" s="19">
        <v>2</v>
      </c>
      <c r="K51" s="18">
        <v>2</v>
      </c>
      <c r="L51" s="18">
        <v>1</v>
      </c>
      <c r="M51" s="18">
        <v>2</v>
      </c>
      <c r="N51" s="18">
        <v>2</v>
      </c>
      <c r="O51" s="18">
        <v>2</v>
      </c>
      <c r="P51" s="18">
        <v>2</v>
      </c>
      <c r="Q51" s="17">
        <v>11</v>
      </c>
      <c r="R51">
        <v>2</v>
      </c>
      <c r="S51">
        <v>0</v>
      </c>
      <c r="T51">
        <v>0</v>
      </c>
      <c r="U51" s="14">
        <f t="shared" si="0"/>
        <v>13</v>
      </c>
      <c r="V51" t="b">
        <f t="shared" si="1"/>
        <v>1</v>
      </c>
      <c r="W51" t="b">
        <f t="shared" si="2"/>
        <v>1</v>
      </c>
      <c r="X51" t="b">
        <f t="shared" si="3"/>
        <v>1</v>
      </c>
      <c r="Y51" t="b">
        <f t="shared" si="4"/>
        <v>1</v>
      </c>
      <c r="Z51" t="b">
        <f t="shared" si="5"/>
        <v>1</v>
      </c>
      <c r="AA51" t="b">
        <f t="shared" si="6"/>
        <v>1</v>
      </c>
      <c r="AB51" t="b">
        <f t="shared" si="7"/>
        <v>1</v>
      </c>
      <c r="AC51" t="b">
        <f t="shared" si="8"/>
        <v>1</v>
      </c>
      <c r="AD51" t="b">
        <f t="shared" si="9"/>
        <v>1</v>
      </c>
      <c r="AE51" t="b">
        <f t="shared" si="10"/>
        <v>1</v>
      </c>
      <c r="AF51" t="b">
        <f t="shared" si="11"/>
        <v>1</v>
      </c>
      <c r="AG51" t="b">
        <f t="shared" si="12"/>
        <v>0</v>
      </c>
      <c r="AH51" t="b">
        <f t="shared" si="13"/>
        <v>0</v>
      </c>
    </row>
    <row r="52" spans="1:34" x14ac:dyDescent="0.2">
      <c r="A52" s="12" t="s">
        <v>105</v>
      </c>
      <c r="B52" s="12" t="s">
        <v>101</v>
      </c>
      <c r="C52" s="13" t="s">
        <v>101</v>
      </c>
      <c r="D52" s="18">
        <v>1</v>
      </c>
      <c r="E52" s="18">
        <v>1</v>
      </c>
      <c r="F52" s="18">
        <v>2</v>
      </c>
      <c r="G52" s="18">
        <v>2</v>
      </c>
      <c r="H52" s="18">
        <v>0</v>
      </c>
      <c r="I52" s="18">
        <v>2</v>
      </c>
      <c r="J52" s="19">
        <v>2</v>
      </c>
      <c r="K52" s="18">
        <v>2</v>
      </c>
      <c r="L52" s="18">
        <v>1</v>
      </c>
      <c r="M52" s="18">
        <v>2</v>
      </c>
      <c r="N52" s="18">
        <v>2</v>
      </c>
      <c r="O52" s="18">
        <v>2</v>
      </c>
      <c r="P52" s="18">
        <v>1</v>
      </c>
      <c r="Q52" s="17">
        <v>8</v>
      </c>
      <c r="R52">
        <v>4</v>
      </c>
      <c r="S52">
        <v>1</v>
      </c>
      <c r="T52">
        <v>0</v>
      </c>
      <c r="U52" s="14">
        <f t="shared" si="0"/>
        <v>13</v>
      </c>
      <c r="V52" t="b">
        <f t="shared" si="1"/>
        <v>1</v>
      </c>
      <c r="W52" t="b">
        <f t="shared" si="2"/>
        <v>1</v>
      </c>
      <c r="X52" t="b">
        <f t="shared" si="3"/>
        <v>1</v>
      </c>
      <c r="Y52" t="b">
        <f t="shared" si="4"/>
        <v>1</v>
      </c>
      <c r="Z52" t="b">
        <f t="shared" si="5"/>
        <v>1</v>
      </c>
      <c r="AA52" t="b">
        <f t="shared" si="6"/>
        <v>1</v>
      </c>
      <c r="AB52" t="b">
        <f t="shared" si="7"/>
        <v>1</v>
      </c>
      <c r="AC52" t="b">
        <f t="shared" si="8"/>
        <v>1</v>
      </c>
      <c r="AD52" t="b">
        <f t="shared" si="9"/>
        <v>0</v>
      </c>
      <c r="AE52" t="b">
        <f t="shared" si="10"/>
        <v>0</v>
      </c>
      <c r="AF52" t="b">
        <f t="shared" si="11"/>
        <v>0</v>
      </c>
      <c r="AG52" t="b">
        <f t="shared" si="12"/>
        <v>0</v>
      </c>
      <c r="AH52" t="b">
        <f t="shared" si="13"/>
        <v>0</v>
      </c>
    </row>
    <row r="53" spans="1:34" x14ac:dyDescent="0.2">
      <c r="A53" s="12" t="s">
        <v>106</v>
      </c>
      <c r="B53" s="12" t="s">
        <v>101</v>
      </c>
      <c r="C53" s="13" t="s">
        <v>101</v>
      </c>
      <c r="D53" s="18">
        <v>0</v>
      </c>
      <c r="E53" s="18">
        <v>2</v>
      </c>
      <c r="F53" s="18">
        <v>0</v>
      </c>
      <c r="G53" s="18">
        <v>0</v>
      </c>
      <c r="H53" s="18">
        <v>0</v>
      </c>
      <c r="I53" s="18">
        <v>0</v>
      </c>
      <c r="J53" s="19">
        <v>0</v>
      </c>
      <c r="K53" s="18">
        <v>0</v>
      </c>
      <c r="L53" s="18">
        <v>0</v>
      </c>
      <c r="M53" s="18">
        <v>0</v>
      </c>
      <c r="N53" s="18">
        <v>0</v>
      </c>
      <c r="O53" s="18">
        <v>0</v>
      </c>
      <c r="P53" s="18">
        <v>0</v>
      </c>
      <c r="Q53" s="17">
        <v>1</v>
      </c>
      <c r="R53">
        <v>0</v>
      </c>
      <c r="S53">
        <v>12</v>
      </c>
      <c r="T53">
        <v>0</v>
      </c>
      <c r="U53" s="14">
        <f t="shared" si="0"/>
        <v>13</v>
      </c>
      <c r="V53" t="b">
        <f t="shared" si="1"/>
        <v>1</v>
      </c>
      <c r="W53" t="b">
        <f t="shared" si="2"/>
        <v>0</v>
      </c>
      <c r="X53" t="b">
        <f t="shared" si="3"/>
        <v>0</v>
      </c>
      <c r="Y53" t="b">
        <f t="shared" si="4"/>
        <v>0</v>
      </c>
      <c r="Z53" t="b">
        <f t="shared" si="5"/>
        <v>0</v>
      </c>
      <c r="AA53" t="b">
        <f t="shared" si="6"/>
        <v>0</v>
      </c>
      <c r="AB53" t="b">
        <f t="shared" si="7"/>
        <v>0</v>
      </c>
      <c r="AC53" t="b">
        <f t="shared" si="8"/>
        <v>0</v>
      </c>
      <c r="AD53" t="b">
        <f t="shared" si="9"/>
        <v>0</v>
      </c>
      <c r="AE53" t="b">
        <f t="shared" si="10"/>
        <v>0</v>
      </c>
      <c r="AF53" t="b">
        <f t="shared" si="11"/>
        <v>0</v>
      </c>
      <c r="AG53" t="b">
        <f t="shared" si="12"/>
        <v>0</v>
      </c>
      <c r="AH53" t="b">
        <f t="shared" si="13"/>
        <v>0</v>
      </c>
    </row>
    <row r="54" spans="1:34" x14ac:dyDescent="0.2">
      <c r="A54" s="12" t="s">
        <v>107</v>
      </c>
      <c r="B54" s="12" t="s">
        <v>101</v>
      </c>
      <c r="C54" s="13" t="s">
        <v>101</v>
      </c>
      <c r="D54" s="18">
        <v>0</v>
      </c>
      <c r="E54" s="18">
        <v>2</v>
      </c>
      <c r="F54" s="18">
        <v>1</v>
      </c>
      <c r="G54" s="18">
        <v>2</v>
      </c>
      <c r="H54" s="18">
        <v>1</v>
      </c>
      <c r="I54" s="18">
        <v>1</v>
      </c>
      <c r="J54" s="19">
        <v>2</v>
      </c>
      <c r="K54" s="18">
        <v>0</v>
      </c>
      <c r="L54" s="18">
        <v>2</v>
      </c>
      <c r="M54" s="18">
        <v>2</v>
      </c>
      <c r="N54" s="18">
        <v>0</v>
      </c>
      <c r="O54" s="18">
        <v>2</v>
      </c>
      <c r="P54" s="18">
        <v>0</v>
      </c>
      <c r="Q54" s="17">
        <v>6</v>
      </c>
      <c r="R54">
        <v>3</v>
      </c>
      <c r="S54">
        <v>4</v>
      </c>
      <c r="T54">
        <v>0</v>
      </c>
      <c r="U54" s="14">
        <f t="shared" si="0"/>
        <v>13</v>
      </c>
      <c r="V54" t="b">
        <f t="shared" si="1"/>
        <v>1</v>
      </c>
      <c r="W54" t="b">
        <f t="shared" si="2"/>
        <v>1</v>
      </c>
      <c r="X54" t="b">
        <f t="shared" si="3"/>
        <v>1</v>
      </c>
      <c r="Y54" t="b">
        <f t="shared" si="4"/>
        <v>1</v>
      </c>
      <c r="Z54" t="b">
        <f t="shared" si="5"/>
        <v>1</v>
      </c>
      <c r="AA54" t="b">
        <f t="shared" si="6"/>
        <v>1</v>
      </c>
      <c r="AB54" t="b">
        <f t="shared" si="7"/>
        <v>0</v>
      </c>
      <c r="AC54" t="b">
        <f t="shared" si="8"/>
        <v>0</v>
      </c>
      <c r="AD54" t="b">
        <f t="shared" si="9"/>
        <v>0</v>
      </c>
      <c r="AE54" t="b">
        <f t="shared" si="10"/>
        <v>0</v>
      </c>
      <c r="AF54" t="b">
        <f t="shared" si="11"/>
        <v>0</v>
      </c>
      <c r="AG54" t="b">
        <f t="shared" si="12"/>
        <v>0</v>
      </c>
      <c r="AH54" t="b">
        <f t="shared" si="13"/>
        <v>0</v>
      </c>
    </row>
    <row r="55" spans="1:34" x14ac:dyDescent="0.2">
      <c r="A55" s="12" t="s">
        <v>108</v>
      </c>
      <c r="B55" s="12" t="s">
        <v>109</v>
      </c>
      <c r="C55" s="13" t="s">
        <v>110</v>
      </c>
      <c r="D55" s="18">
        <v>2</v>
      </c>
      <c r="E55" s="18">
        <v>2</v>
      </c>
      <c r="F55" s="18">
        <v>2</v>
      </c>
      <c r="G55" s="18">
        <v>2</v>
      </c>
      <c r="H55" s="18">
        <v>2</v>
      </c>
      <c r="I55" s="18">
        <v>1</v>
      </c>
      <c r="J55" s="19">
        <v>1</v>
      </c>
      <c r="K55" s="18">
        <v>2</v>
      </c>
      <c r="L55" s="18">
        <v>1</v>
      </c>
      <c r="M55" s="18">
        <v>2</v>
      </c>
      <c r="N55" s="18">
        <v>1</v>
      </c>
      <c r="O55" s="18">
        <v>2</v>
      </c>
      <c r="P55" s="18">
        <v>2</v>
      </c>
      <c r="Q55" s="17">
        <v>9</v>
      </c>
      <c r="R55">
        <v>4</v>
      </c>
      <c r="S55">
        <v>0</v>
      </c>
      <c r="T55">
        <v>0</v>
      </c>
      <c r="U55" s="14">
        <f t="shared" si="0"/>
        <v>13</v>
      </c>
      <c r="V55" t="b">
        <f t="shared" si="1"/>
        <v>1</v>
      </c>
      <c r="W55" t="b">
        <f t="shared" si="2"/>
        <v>1</v>
      </c>
      <c r="X55" t="b">
        <f t="shared" si="3"/>
        <v>1</v>
      </c>
      <c r="Y55" t="b">
        <f t="shared" si="4"/>
        <v>1</v>
      </c>
      <c r="Z55" t="b">
        <f t="shared" si="5"/>
        <v>1</v>
      </c>
      <c r="AA55" t="b">
        <f t="shared" si="6"/>
        <v>1</v>
      </c>
      <c r="AB55" t="b">
        <f t="shared" si="7"/>
        <v>1</v>
      </c>
      <c r="AC55" t="b">
        <f t="shared" si="8"/>
        <v>1</v>
      </c>
      <c r="AD55" t="b">
        <f t="shared" si="9"/>
        <v>1</v>
      </c>
      <c r="AE55" t="b">
        <f t="shared" si="10"/>
        <v>0</v>
      </c>
      <c r="AF55" t="b">
        <f t="shared" si="11"/>
        <v>0</v>
      </c>
      <c r="AG55" t="b">
        <f t="shared" si="12"/>
        <v>0</v>
      </c>
      <c r="AH55" t="b">
        <f t="shared" si="13"/>
        <v>0</v>
      </c>
    </row>
    <row r="56" spans="1:34" x14ac:dyDescent="0.2">
      <c r="A56" s="12" t="s">
        <v>111</v>
      </c>
      <c r="B56" s="12" t="s">
        <v>109</v>
      </c>
      <c r="C56" s="13" t="s">
        <v>110</v>
      </c>
      <c r="D56" s="18">
        <v>2</v>
      </c>
      <c r="E56" s="18">
        <v>1</v>
      </c>
      <c r="F56" s="18">
        <v>2</v>
      </c>
      <c r="G56" s="18">
        <v>2</v>
      </c>
      <c r="H56" s="18">
        <v>2</v>
      </c>
      <c r="I56" s="18">
        <v>2</v>
      </c>
      <c r="J56" s="19">
        <v>1</v>
      </c>
      <c r="K56" s="18">
        <v>2</v>
      </c>
      <c r="L56" s="18">
        <v>1</v>
      </c>
      <c r="M56" s="18">
        <v>2</v>
      </c>
      <c r="N56" s="18">
        <v>1</v>
      </c>
      <c r="O56" s="18">
        <v>2</v>
      </c>
      <c r="P56" s="18">
        <v>2</v>
      </c>
      <c r="Q56" s="17">
        <v>9</v>
      </c>
      <c r="R56">
        <v>4</v>
      </c>
      <c r="S56">
        <v>0</v>
      </c>
      <c r="T56">
        <v>0</v>
      </c>
      <c r="U56" s="14">
        <f t="shared" si="0"/>
        <v>13</v>
      </c>
      <c r="V56" t="b">
        <f t="shared" si="1"/>
        <v>1</v>
      </c>
      <c r="W56" t="b">
        <f t="shared" si="2"/>
        <v>1</v>
      </c>
      <c r="X56" t="b">
        <f t="shared" si="3"/>
        <v>1</v>
      </c>
      <c r="Y56" t="b">
        <f t="shared" si="4"/>
        <v>1</v>
      </c>
      <c r="Z56" t="b">
        <f t="shared" si="5"/>
        <v>1</v>
      </c>
      <c r="AA56" t="b">
        <f t="shared" si="6"/>
        <v>1</v>
      </c>
      <c r="AB56" t="b">
        <f t="shared" si="7"/>
        <v>1</v>
      </c>
      <c r="AC56" t="b">
        <f t="shared" si="8"/>
        <v>1</v>
      </c>
      <c r="AD56" t="b">
        <f t="shared" si="9"/>
        <v>1</v>
      </c>
      <c r="AE56" t="b">
        <f t="shared" si="10"/>
        <v>0</v>
      </c>
      <c r="AF56" t="b">
        <f t="shared" si="11"/>
        <v>0</v>
      </c>
      <c r="AG56" t="b">
        <f t="shared" si="12"/>
        <v>0</v>
      </c>
      <c r="AH56" t="b">
        <f t="shared" si="13"/>
        <v>0</v>
      </c>
    </row>
    <row r="57" spans="1:34" x14ac:dyDescent="0.2">
      <c r="A57" s="12" t="s">
        <v>112</v>
      </c>
      <c r="B57" s="12" t="s">
        <v>109</v>
      </c>
      <c r="C57" s="13" t="s">
        <v>110</v>
      </c>
      <c r="D57" s="18">
        <v>2</v>
      </c>
      <c r="E57" s="18">
        <v>2</v>
      </c>
      <c r="F57" s="18">
        <v>2</v>
      </c>
      <c r="G57" s="18">
        <v>2</v>
      </c>
      <c r="H57" s="18">
        <v>2</v>
      </c>
      <c r="I57" s="18">
        <v>2</v>
      </c>
      <c r="J57" s="19">
        <v>1</v>
      </c>
      <c r="K57" s="18">
        <v>2</v>
      </c>
      <c r="L57" s="18">
        <v>1</v>
      </c>
      <c r="M57" s="18">
        <v>2</v>
      </c>
      <c r="N57" s="18"/>
      <c r="O57" s="18">
        <v>2</v>
      </c>
      <c r="P57" s="18">
        <v>2</v>
      </c>
      <c r="Q57" s="17">
        <v>10</v>
      </c>
      <c r="R57">
        <v>2</v>
      </c>
      <c r="S57">
        <v>0</v>
      </c>
      <c r="T57">
        <v>1</v>
      </c>
      <c r="U57" s="14">
        <f t="shared" si="0"/>
        <v>13</v>
      </c>
      <c r="V57" t="b">
        <f t="shared" si="1"/>
        <v>1</v>
      </c>
      <c r="W57" t="b">
        <f t="shared" si="2"/>
        <v>1</v>
      </c>
      <c r="X57" t="b">
        <f t="shared" si="3"/>
        <v>1</v>
      </c>
      <c r="Y57" t="b">
        <f t="shared" si="4"/>
        <v>1</v>
      </c>
      <c r="Z57" t="b">
        <f t="shared" si="5"/>
        <v>1</v>
      </c>
      <c r="AA57" t="b">
        <f t="shared" si="6"/>
        <v>1</v>
      </c>
      <c r="AB57" t="b">
        <f t="shared" si="7"/>
        <v>1</v>
      </c>
      <c r="AC57" t="b">
        <f t="shared" si="8"/>
        <v>1</v>
      </c>
      <c r="AD57" t="b">
        <f t="shared" si="9"/>
        <v>1</v>
      </c>
      <c r="AE57" t="b">
        <f t="shared" si="10"/>
        <v>1</v>
      </c>
      <c r="AF57" t="b">
        <f t="shared" si="11"/>
        <v>0</v>
      </c>
      <c r="AG57" t="b">
        <f t="shared" si="12"/>
        <v>0</v>
      </c>
      <c r="AH57" t="b">
        <f t="shared" si="13"/>
        <v>0</v>
      </c>
    </row>
    <row r="58" spans="1:34" x14ac:dyDescent="0.2">
      <c r="A58" s="12" t="s">
        <v>113</v>
      </c>
      <c r="B58" s="12" t="s">
        <v>109</v>
      </c>
      <c r="C58" s="13" t="s">
        <v>110</v>
      </c>
      <c r="D58" s="18">
        <v>2</v>
      </c>
      <c r="E58" s="18">
        <v>1</v>
      </c>
      <c r="F58" s="18">
        <v>2</v>
      </c>
      <c r="G58" s="18">
        <v>2</v>
      </c>
      <c r="H58" s="18">
        <v>2</v>
      </c>
      <c r="I58" s="18">
        <v>2</v>
      </c>
      <c r="J58" s="19">
        <v>1</v>
      </c>
      <c r="K58" s="18">
        <v>2</v>
      </c>
      <c r="L58" s="18">
        <v>1</v>
      </c>
      <c r="M58" s="18">
        <v>2</v>
      </c>
      <c r="N58" s="18">
        <v>1</v>
      </c>
      <c r="O58" s="18">
        <v>2</v>
      </c>
      <c r="P58" s="18">
        <v>2</v>
      </c>
      <c r="Q58" s="17">
        <v>9</v>
      </c>
      <c r="R58">
        <v>4</v>
      </c>
      <c r="S58">
        <v>0</v>
      </c>
      <c r="T58">
        <v>0</v>
      </c>
      <c r="U58" s="14">
        <f t="shared" si="0"/>
        <v>13</v>
      </c>
      <c r="V58" t="b">
        <f t="shared" si="1"/>
        <v>1</v>
      </c>
      <c r="W58" t="b">
        <f t="shared" si="2"/>
        <v>1</v>
      </c>
      <c r="X58" t="b">
        <f t="shared" si="3"/>
        <v>1</v>
      </c>
      <c r="Y58" t="b">
        <f t="shared" si="4"/>
        <v>1</v>
      </c>
      <c r="Z58" t="b">
        <f t="shared" si="5"/>
        <v>1</v>
      </c>
      <c r="AA58" t="b">
        <f t="shared" si="6"/>
        <v>1</v>
      </c>
      <c r="AB58" t="b">
        <f t="shared" si="7"/>
        <v>1</v>
      </c>
      <c r="AC58" t="b">
        <f t="shared" si="8"/>
        <v>1</v>
      </c>
      <c r="AD58" t="b">
        <f t="shared" si="9"/>
        <v>1</v>
      </c>
      <c r="AE58" t="b">
        <f t="shared" si="10"/>
        <v>0</v>
      </c>
      <c r="AF58" t="b">
        <f t="shared" si="11"/>
        <v>0</v>
      </c>
      <c r="AG58" t="b">
        <f t="shared" si="12"/>
        <v>0</v>
      </c>
      <c r="AH58" t="b">
        <f t="shared" si="13"/>
        <v>0</v>
      </c>
    </row>
    <row r="59" spans="1:34" x14ac:dyDescent="0.2">
      <c r="A59" s="12" t="s">
        <v>114</v>
      </c>
      <c r="B59" s="12" t="s">
        <v>109</v>
      </c>
      <c r="C59" s="13" t="s">
        <v>110</v>
      </c>
      <c r="D59" s="18">
        <v>0</v>
      </c>
      <c r="E59" s="18">
        <v>2</v>
      </c>
      <c r="F59" s="18">
        <v>2</v>
      </c>
      <c r="G59" s="18">
        <v>2</v>
      </c>
      <c r="H59" s="18">
        <v>2</v>
      </c>
      <c r="I59" s="18">
        <v>0</v>
      </c>
      <c r="J59" s="19">
        <v>0</v>
      </c>
      <c r="K59" s="18">
        <v>1</v>
      </c>
      <c r="L59" s="18">
        <v>2</v>
      </c>
      <c r="M59" s="18">
        <v>1</v>
      </c>
      <c r="N59" s="18"/>
      <c r="O59" s="18">
        <v>2</v>
      </c>
      <c r="P59" s="18">
        <v>1</v>
      </c>
      <c r="Q59" s="17">
        <v>6</v>
      </c>
      <c r="R59">
        <v>3</v>
      </c>
      <c r="S59">
        <v>3</v>
      </c>
      <c r="T59">
        <v>1</v>
      </c>
      <c r="U59" s="14">
        <f t="shared" si="0"/>
        <v>13</v>
      </c>
      <c r="V59" t="b">
        <f t="shared" si="1"/>
        <v>1</v>
      </c>
      <c r="W59" t="b">
        <f t="shared" si="2"/>
        <v>1</v>
      </c>
      <c r="X59" t="b">
        <f t="shared" si="3"/>
        <v>1</v>
      </c>
      <c r="Y59" t="b">
        <f t="shared" si="4"/>
        <v>1</v>
      </c>
      <c r="Z59" t="b">
        <f t="shared" si="5"/>
        <v>1</v>
      </c>
      <c r="AA59" t="b">
        <f t="shared" si="6"/>
        <v>1</v>
      </c>
      <c r="AB59" t="b">
        <f t="shared" si="7"/>
        <v>0</v>
      </c>
      <c r="AC59" t="b">
        <f t="shared" si="8"/>
        <v>0</v>
      </c>
      <c r="AD59" t="b">
        <f t="shared" si="9"/>
        <v>0</v>
      </c>
      <c r="AE59" t="b">
        <f t="shared" si="10"/>
        <v>0</v>
      </c>
      <c r="AF59" t="b">
        <f t="shared" si="11"/>
        <v>0</v>
      </c>
      <c r="AG59" t="b">
        <f t="shared" si="12"/>
        <v>0</v>
      </c>
      <c r="AH59" t="b">
        <f t="shared" si="13"/>
        <v>0</v>
      </c>
    </row>
    <row r="60" spans="1:34" x14ac:dyDescent="0.2">
      <c r="A60" s="12" t="s">
        <v>99</v>
      </c>
      <c r="B60" s="12" t="s">
        <v>115</v>
      </c>
      <c r="C60" s="13" t="s">
        <v>116</v>
      </c>
      <c r="D60" s="18">
        <v>0</v>
      </c>
      <c r="E60" s="18">
        <v>2</v>
      </c>
      <c r="F60" s="18">
        <v>1</v>
      </c>
      <c r="G60" s="18">
        <v>2</v>
      </c>
      <c r="H60" s="18">
        <v>0</v>
      </c>
      <c r="I60" s="18">
        <v>0</v>
      </c>
      <c r="J60" s="19">
        <v>0</v>
      </c>
      <c r="K60" s="18">
        <v>0</v>
      </c>
      <c r="L60" s="18">
        <v>1</v>
      </c>
      <c r="M60" s="18">
        <v>2</v>
      </c>
      <c r="N60" s="18"/>
      <c r="O60" s="18">
        <v>2</v>
      </c>
      <c r="P60" s="18">
        <v>0</v>
      </c>
      <c r="Q60" s="17">
        <v>4</v>
      </c>
      <c r="R60">
        <v>2</v>
      </c>
      <c r="S60">
        <v>6</v>
      </c>
      <c r="T60">
        <v>1</v>
      </c>
      <c r="U60" s="14">
        <f t="shared" si="0"/>
        <v>13</v>
      </c>
      <c r="V60" t="b">
        <f t="shared" si="1"/>
        <v>1</v>
      </c>
      <c r="W60" t="b">
        <f t="shared" si="2"/>
        <v>1</v>
      </c>
      <c r="X60" t="b">
        <f t="shared" si="3"/>
        <v>1</v>
      </c>
      <c r="Y60" t="b">
        <f t="shared" si="4"/>
        <v>1</v>
      </c>
      <c r="Z60" t="b">
        <f t="shared" si="5"/>
        <v>0</v>
      </c>
      <c r="AA60" t="b">
        <f t="shared" si="6"/>
        <v>0</v>
      </c>
      <c r="AB60" t="b">
        <f t="shared" si="7"/>
        <v>0</v>
      </c>
      <c r="AC60" t="b">
        <f t="shared" si="8"/>
        <v>0</v>
      </c>
      <c r="AD60" t="b">
        <f t="shared" si="9"/>
        <v>0</v>
      </c>
      <c r="AE60" t="b">
        <f t="shared" si="10"/>
        <v>0</v>
      </c>
      <c r="AF60" t="b">
        <f t="shared" si="11"/>
        <v>0</v>
      </c>
      <c r="AG60" t="b">
        <f t="shared" si="12"/>
        <v>0</v>
      </c>
      <c r="AH60" t="b">
        <f t="shared" si="13"/>
        <v>0</v>
      </c>
    </row>
    <row r="61" spans="1:34" x14ac:dyDescent="0.2">
      <c r="A61" s="12" t="s">
        <v>117</v>
      </c>
      <c r="B61" s="12" t="s">
        <v>118</v>
      </c>
      <c r="C61" s="13" t="s">
        <v>119</v>
      </c>
      <c r="D61" s="18">
        <v>2</v>
      </c>
      <c r="E61" s="18">
        <v>1</v>
      </c>
      <c r="F61" s="18">
        <v>2</v>
      </c>
      <c r="G61" s="18">
        <v>2</v>
      </c>
      <c r="H61" s="18">
        <v>2</v>
      </c>
      <c r="I61" s="18">
        <v>2</v>
      </c>
      <c r="J61" s="19">
        <v>0</v>
      </c>
      <c r="K61" s="18">
        <v>2</v>
      </c>
      <c r="L61" s="18">
        <v>1</v>
      </c>
      <c r="M61" s="18">
        <v>2</v>
      </c>
      <c r="N61" s="18">
        <v>1</v>
      </c>
      <c r="O61" s="18">
        <v>2</v>
      </c>
      <c r="P61" s="18">
        <v>2</v>
      </c>
      <c r="Q61" s="17">
        <v>9</v>
      </c>
      <c r="R61">
        <v>3</v>
      </c>
      <c r="S61">
        <v>1</v>
      </c>
      <c r="T61">
        <v>0</v>
      </c>
      <c r="U61" s="14">
        <f t="shared" si="0"/>
        <v>13</v>
      </c>
      <c r="V61" t="b">
        <f t="shared" si="1"/>
        <v>1</v>
      </c>
      <c r="W61" t="b">
        <f t="shared" si="2"/>
        <v>1</v>
      </c>
      <c r="X61" t="b">
        <f t="shared" si="3"/>
        <v>1</v>
      </c>
      <c r="Y61" t="b">
        <f t="shared" si="4"/>
        <v>1</v>
      </c>
      <c r="Z61" t="b">
        <f t="shared" si="5"/>
        <v>1</v>
      </c>
      <c r="AA61" t="b">
        <f t="shared" si="6"/>
        <v>1</v>
      </c>
      <c r="AB61" t="b">
        <f t="shared" si="7"/>
        <v>1</v>
      </c>
      <c r="AC61" t="b">
        <f t="shared" si="8"/>
        <v>1</v>
      </c>
      <c r="AD61" t="b">
        <f t="shared" si="9"/>
        <v>1</v>
      </c>
      <c r="AE61" t="b">
        <f t="shared" si="10"/>
        <v>0</v>
      </c>
      <c r="AF61" t="b">
        <f t="shared" si="11"/>
        <v>0</v>
      </c>
      <c r="AG61" t="b">
        <f t="shared" si="12"/>
        <v>0</v>
      </c>
      <c r="AH61" t="b">
        <f t="shared" si="13"/>
        <v>0</v>
      </c>
    </row>
    <row r="62" spans="1:34" x14ac:dyDescent="0.2">
      <c r="A62" s="12" t="s">
        <v>120</v>
      </c>
      <c r="B62" s="12" t="s">
        <v>118</v>
      </c>
      <c r="C62" s="13" t="s">
        <v>119</v>
      </c>
      <c r="D62" s="18">
        <v>2</v>
      </c>
      <c r="E62" s="18">
        <v>2</v>
      </c>
      <c r="F62" s="18">
        <v>2</v>
      </c>
      <c r="G62" s="18">
        <v>2</v>
      </c>
      <c r="H62" s="18">
        <v>2</v>
      </c>
      <c r="I62" s="18">
        <v>2</v>
      </c>
      <c r="J62" s="19">
        <v>1</v>
      </c>
      <c r="K62" s="18">
        <v>2</v>
      </c>
      <c r="L62" s="18">
        <v>1</v>
      </c>
      <c r="M62" s="18">
        <v>2</v>
      </c>
      <c r="N62" s="18">
        <v>2</v>
      </c>
      <c r="O62" s="18">
        <v>2</v>
      </c>
      <c r="P62" s="18">
        <v>2</v>
      </c>
      <c r="Q62" s="17">
        <v>11</v>
      </c>
      <c r="R62">
        <v>2</v>
      </c>
      <c r="S62">
        <v>0</v>
      </c>
      <c r="T62">
        <v>0</v>
      </c>
      <c r="U62" s="14">
        <f t="shared" si="0"/>
        <v>13</v>
      </c>
      <c r="V62" t="b">
        <f t="shared" si="1"/>
        <v>1</v>
      </c>
      <c r="W62" t="b">
        <f t="shared" si="2"/>
        <v>1</v>
      </c>
      <c r="X62" t="b">
        <f t="shared" si="3"/>
        <v>1</v>
      </c>
      <c r="Y62" t="b">
        <f t="shared" si="4"/>
        <v>1</v>
      </c>
      <c r="Z62" t="b">
        <f t="shared" si="5"/>
        <v>1</v>
      </c>
      <c r="AA62" t="b">
        <f t="shared" si="6"/>
        <v>1</v>
      </c>
      <c r="AB62" t="b">
        <f t="shared" si="7"/>
        <v>1</v>
      </c>
      <c r="AC62" t="b">
        <f t="shared" si="8"/>
        <v>1</v>
      </c>
      <c r="AD62" t="b">
        <f t="shared" si="9"/>
        <v>1</v>
      </c>
      <c r="AE62" t="b">
        <f t="shared" si="10"/>
        <v>1</v>
      </c>
      <c r="AF62" t="b">
        <f t="shared" si="11"/>
        <v>1</v>
      </c>
      <c r="AG62" t="b">
        <f t="shared" si="12"/>
        <v>0</v>
      </c>
      <c r="AH62" t="b">
        <f t="shared" si="13"/>
        <v>0</v>
      </c>
    </row>
    <row r="63" spans="1:34" x14ac:dyDescent="0.2">
      <c r="A63" s="12" t="s">
        <v>121</v>
      </c>
      <c r="B63" s="12" t="s">
        <v>118</v>
      </c>
      <c r="C63" s="13" t="s">
        <v>119</v>
      </c>
      <c r="D63" s="18">
        <v>0</v>
      </c>
      <c r="E63" s="18">
        <v>2</v>
      </c>
      <c r="F63" s="18">
        <v>1</v>
      </c>
      <c r="G63" s="18">
        <v>1</v>
      </c>
      <c r="H63" s="18">
        <v>0</v>
      </c>
      <c r="I63" s="18">
        <v>0</v>
      </c>
      <c r="J63" s="19">
        <v>1</v>
      </c>
      <c r="K63" s="18">
        <v>1</v>
      </c>
      <c r="L63" s="18"/>
      <c r="M63" s="18">
        <v>0</v>
      </c>
      <c r="N63" s="18"/>
      <c r="O63" s="18">
        <v>0</v>
      </c>
      <c r="P63" s="18">
        <v>0</v>
      </c>
      <c r="Q63" s="17">
        <v>1</v>
      </c>
      <c r="R63">
        <v>4</v>
      </c>
      <c r="S63">
        <v>6</v>
      </c>
      <c r="T63">
        <v>2</v>
      </c>
      <c r="U63" s="14">
        <f t="shared" si="0"/>
        <v>13</v>
      </c>
      <c r="V63" t="b">
        <f t="shared" si="1"/>
        <v>1</v>
      </c>
      <c r="W63" t="b">
        <f t="shared" si="2"/>
        <v>0</v>
      </c>
      <c r="X63" t="b">
        <f t="shared" si="3"/>
        <v>0</v>
      </c>
      <c r="Y63" t="b">
        <f t="shared" si="4"/>
        <v>0</v>
      </c>
      <c r="Z63" t="b">
        <f t="shared" si="5"/>
        <v>0</v>
      </c>
      <c r="AA63" t="b">
        <f t="shared" si="6"/>
        <v>0</v>
      </c>
      <c r="AB63" t="b">
        <f t="shared" si="7"/>
        <v>0</v>
      </c>
      <c r="AC63" t="b">
        <f t="shared" si="8"/>
        <v>0</v>
      </c>
      <c r="AD63" t="b">
        <f t="shared" si="9"/>
        <v>0</v>
      </c>
      <c r="AE63" t="b">
        <f t="shared" si="10"/>
        <v>0</v>
      </c>
      <c r="AF63" t="b">
        <f t="shared" si="11"/>
        <v>0</v>
      </c>
      <c r="AG63" t="b">
        <f t="shared" si="12"/>
        <v>0</v>
      </c>
      <c r="AH63" t="b">
        <f t="shared" si="13"/>
        <v>0</v>
      </c>
    </row>
    <row r="64" spans="1:34" x14ac:dyDescent="0.2">
      <c r="A64" s="12" t="s">
        <v>122</v>
      </c>
      <c r="B64" s="12" t="s">
        <v>118</v>
      </c>
      <c r="C64" s="13" t="s">
        <v>119</v>
      </c>
      <c r="D64" s="18">
        <v>2</v>
      </c>
      <c r="E64" s="18">
        <v>2</v>
      </c>
      <c r="F64" s="18">
        <v>2</v>
      </c>
      <c r="G64" s="18">
        <v>2</v>
      </c>
      <c r="H64" s="18">
        <v>2</v>
      </c>
      <c r="I64" s="18">
        <v>2</v>
      </c>
      <c r="J64" s="19">
        <v>1</v>
      </c>
      <c r="K64" s="18">
        <v>2</v>
      </c>
      <c r="L64" s="18">
        <v>1</v>
      </c>
      <c r="M64" s="18">
        <v>2</v>
      </c>
      <c r="N64" s="18">
        <v>2</v>
      </c>
      <c r="O64" s="18">
        <v>2</v>
      </c>
      <c r="P64" s="18">
        <v>2</v>
      </c>
      <c r="Q64" s="17">
        <v>11</v>
      </c>
      <c r="R64">
        <v>2</v>
      </c>
      <c r="S64">
        <v>0</v>
      </c>
      <c r="T64">
        <v>0</v>
      </c>
      <c r="U64" s="14">
        <f t="shared" si="0"/>
        <v>13</v>
      </c>
      <c r="V64" t="b">
        <f t="shared" si="1"/>
        <v>1</v>
      </c>
      <c r="W64" t="b">
        <f t="shared" si="2"/>
        <v>1</v>
      </c>
      <c r="X64" t="b">
        <f t="shared" si="3"/>
        <v>1</v>
      </c>
      <c r="Y64" t="b">
        <f t="shared" si="4"/>
        <v>1</v>
      </c>
      <c r="Z64" t="b">
        <f t="shared" si="5"/>
        <v>1</v>
      </c>
      <c r="AA64" t="b">
        <f t="shared" si="6"/>
        <v>1</v>
      </c>
      <c r="AB64" t="b">
        <f t="shared" si="7"/>
        <v>1</v>
      </c>
      <c r="AC64" t="b">
        <f t="shared" si="8"/>
        <v>1</v>
      </c>
      <c r="AD64" t="b">
        <f t="shared" si="9"/>
        <v>1</v>
      </c>
      <c r="AE64" t="b">
        <f t="shared" si="10"/>
        <v>1</v>
      </c>
      <c r="AF64" t="b">
        <f t="shared" si="11"/>
        <v>1</v>
      </c>
      <c r="AG64" t="b">
        <f t="shared" si="12"/>
        <v>0</v>
      </c>
      <c r="AH64" t="b">
        <f t="shared" si="13"/>
        <v>0</v>
      </c>
    </row>
    <row r="65" spans="1:34" x14ac:dyDescent="0.2">
      <c r="A65" s="12" t="s">
        <v>123</v>
      </c>
      <c r="B65" s="12" t="s">
        <v>124</v>
      </c>
      <c r="C65" s="13" t="s">
        <v>124</v>
      </c>
      <c r="D65" s="18">
        <v>0</v>
      </c>
      <c r="E65" s="18">
        <v>2</v>
      </c>
      <c r="F65" s="18">
        <v>1</v>
      </c>
      <c r="G65" s="18">
        <v>2</v>
      </c>
      <c r="H65" s="18">
        <v>0</v>
      </c>
      <c r="I65" s="18">
        <v>0</v>
      </c>
      <c r="J65" s="19">
        <v>0</v>
      </c>
      <c r="K65" s="18">
        <v>1</v>
      </c>
      <c r="L65" s="18">
        <v>2</v>
      </c>
      <c r="M65" s="18">
        <v>0</v>
      </c>
      <c r="N65" s="18">
        <v>1</v>
      </c>
      <c r="O65" s="18">
        <v>0</v>
      </c>
      <c r="P65" s="18">
        <v>0</v>
      </c>
      <c r="Q65" s="17">
        <v>3</v>
      </c>
      <c r="R65">
        <v>3</v>
      </c>
      <c r="S65">
        <v>7</v>
      </c>
      <c r="T65">
        <v>0</v>
      </c>
      <c r="U65" s="14">
        <f t="shared" si="0"/>
        <v>13</v>
      </c>
      <c r="V65" t="b">
        <f t="shared" si="1"/>
        <v>1</v>
      </c>
      <c r="W65" t="b">
        <f t="shared" si="2"/>
        <v>1</v>
      </c>
      <c r="X65" t="b">
        <f t="shared" si="3"/>
        <v>1</v>
      </c>
      <c r="Y65" t="b">
        <f t="shared" si="4"/>
        <v>0</v>
      </c>
      <c r="Z65" t="b">
        <f t="shared" si="5"/>
        <v>0</v>
      </c>
      <c r="AA65" t="b">
        <f t="shared" si="6"/>
        <v>0</v>
      </c>
      <c r="AB65" t="b">
        <f t="shared" si="7"/>
        <v>0</v>
      </c>
      <c r="AC65" t="b">
        <f t="shared" si="8"/>
        <v>0</v>
      </c>
      <c r="AD65" t="b">
        <f t="shared" si="9"/>
        <v>0</v>
      </c>
      <c r="AE65" t="b">
        <f t="shared" si="10"/>
        <v>0</v>
      </c>
      <c r="AF65" t="b">
        <f t="shared" si="11"/>
        <v>0</v>
      </c>
      <c r="AG65" t="b">
        <f t="shared" si="12"/>
        <v>0</v>
      </c>
      <c r="AH65" t="b">
        <f t="shared" si="13"/>
        <v>0</v>
      </c>
    </row>
    <row r="66" spans="1:34" x14ac:dyDescent="0.2">
      <c r="A66" s="12" t="s">
        <v>125</v>
      </c>
      <c r="B66" s="12" t="s">
        <v>124</v>
      </c>
      <c r="C66" s="13" t="s">
        <v>124</v>
      </c>
      <c r="D66" s="18">
        <v>1</v>
      </c>
      <c r="E66" s="18">
        <v>2</v>
      </c>
      <c r="F66" s="18">
        <v>1</v>
      </c>
      <c r="G66" s="18">
        <v>2</v>
      </c>
      <c r="H66" s="18">
        <v>1</v>
      </c>
      <c r="I66" s="18">
        <v>1</v>
      </c>
      <c r="J66" s="19">
        <v>2</v>
      </c>
      <c r="K66" s="18">
        <v>1</v>
      </c>
      <c r="L66" s="18">
        <v>2</v>
      </c>
      <c r="M66" s="18">
        <v>2</v>
      </c>
      <c r="N66" s="18">
        <v>1</v>
      </c>
      <c r="O66" s="18">
        <v>2</v>
      </c>
      <c r="P66" s="18">
        <v>2</v>
      </c>
      <c r="Q66" s="17">
        <v>7</v>
      </c>
      <c r="R66">
        <v>6</v>
      </c>
      <c r="S66">
        <v>0</v>
      </c>
      <c r="T66">
        <v>0</v>
      </c>
      <c r="U66" s="14">
        <f t="shared" si="0"/>
        <v>13</v>
      </c>
      <c r="V66" t="b">
        <f t="shared" si="1"/>
        <v>1</v>
      </c>
      <c r="W66" t="b">
        <f t="shared" si="2"/>
        <v>1</v>
      </c>
      <c r="X66" t="b">
        <f t="shared" si="3"/>
        <v>1</v>
      </c>
      <c r="Y66" t="b">
        <f t="shared" si="4"/>
        <v>1</v>
      </c>
      <c r="Z66" t="b">
        <f t="shared" si="5"/>
        <v>1</v>
      </c>
      <c r="AA66" t="b">
        <f t="shared" si="6"/>
        <v>1</v>
      </c>
      <c r="AB66" t="b">
        <f t="shared" si="7"/>
        <v>1</v>
      </c>
      <c r="AC66" t="b">
        <f t="shared" si="8"/>
        <v>0</v>
      </c>
      <c r="AD66" t="b">
        <f t="shared" si="9"/>
        <v>0</v>
      </c>
      <c r="AE66" t="b">
        <f t="shared" si="10"/>
        <v>0</v>
      </c>
      <c r="AF66" t="b">
        <f t="shared" si="11"/>
        <v>0</v>
      </c>
      <c r="AG66" t="b">
        <f t="shared" si="12"/>
        <v>0</v>
      </c>
      <c r="AH66" t="b">
        <f t="shared" si="13"/>
        <v>0</v>
      </c>
    </row>
    <row r="67" spans="1:34" x14ac:dyDescent="0.2">
      <c r="A67" s="12" t="s">
        <v>126</v>
      </c>
      <c r="B67" s="12" t="s">
        <v>124</v>
      </c>
      <c r="C67" s="13" t="s">
        <v>124</v>
      </c>
      <c r="D67" s="18">
        <v>1</v>
      </c>
      <c r="E67" s="18">
        <v>2</v>
      </c>
      <c r="F67" s="18">
        <v>2</v>
      </c>
      <c r="G67" s="18">
        <v>2</v>
      </c>
      <c r="H67" s="18">
        <v>2</v>
      </c>
      <c r="I67" s="18">
        <v>0</v>
      </c>
      <c r="J67" s="19">
        <v>1</v>
      </c>
      <c r="K67" s="18">
        <v>2</v>
      </c>
      <c r="L67" s="18">
        <v>1</v>
      </c>
      <c r="M67" s="18">
        <v>1</v>
      </c>
      <c r="N67" s="18">
        <v>1</v>
      </c>
      <c r="O67" s="18">
        <v>2</v>
      </c>
      <c r="P67" s="18">
        <v>2</v>
      </c>
      <c r="Q67" s="17">
        <v>7</v>
      </c>
      <c r="R67">
        <v>5</v>
      </c>
      <c r="S67">
        <v>1</v>
      </c>
      <c r="T67">
        <v>0</v>
      </c>
      <c r="U67" s="14">
        <f t="shared" si="0"/>
        <v>13</v>
      </c>
      <c r="V67" t="b">
        <f t="shared" si="1"/>
        <v>1</v>
      </c>
      <c r="W67" t="b">
        <f t="shared" si="2"/>
        <v>1</v>
      </c>
      <c r="X67" t="b">
        <f t="shared" si="3"/>
        <v>1</v>
      </c>
      <c r="Y67" t="b">
        <f t="shared" si="4"/>
        <v>1</v>
      </c>
      <c r="Z67" t="b">
        <f t="shared" si="5"/>
        <v>1</v>
      </c>
      <c r="AA67" t="b">
        <f t="shared" si="6"/>
        <v>1</v>
      </c>
      <c r="AB67" t="b">
        <f t="shared" si="7"/>
        <v>1</v>
      </c>
      <c r="AC67" t="b">
        <f t="shared" si="8"/>
        <v>0</v>
      </c>
      <c r="AD67" t="b">
        <f t="shared" si="9"/>
        <v>0</v>
      </c>
      <c r="AE67" t="b">
        <f t="shared" si="10"/>
        <v>0</v>
      </c>
      <c r="AF67" t="b">
        <f t="shared" si="11"/>
        <v>0</v>
      </c>
      <c r="AG67" t="b">
        <f t="shared" si="12"/>
        <v>0</v>
      </c>
      <c r="AH67" t="b">
        <f t="shared" si="13"/>
        <v>0</v>
      </c>
    </row>
    <row r="68" spans="1:34" x14ac:dyDescent="0.2">
      <c r="A68" s="12" t="s">
        <v>127</v>
      </c>
      <c r="B68" s="12" t="s">
        <v>128</v>
      </c>
      <c r="C68" s="13" t="s">
        <v>128</v>
      </c>
      <c r="D68" s="18">
        <v>0</v>
      </c>
      <c r="E68" s="18">
        <v>2</v>
      </c>
      <c r="F68" s="18">
        <v>1</v>
      </c>
      <c r="G68" s="18">
        <v>2</v>
      </c>
      <c r="H68" s="18">
        <v>0</v>
      </c>
      <c r="I68" s="18">
        <v>0</v>
      </c>
      <c r="J68" s="19">
        <v>0</v>
      </c>
      <c r="K68" s="18">
        <v>0</v>
      </c>
      <c r="L68" s="18">
        <v>1</v>
      </c>
      <c r="M68" s="18">
        <v>2</v>
      </c>
      <c r="N68" s="18"/>
      <c r="O68" s="18">
        <v>0</v>
      </c>
      <c r="P68" s="18">
        <v>0</v>
      </c>
      <c r="Q68" s="17">
        <v>3</v>
      </c>
      <c r="R68">
        <v>2</v>
      </c>
      <c r="S68">
        <v>7</v>
      </c>
      <c r="T68">
        <v>1</v>
      </c>
      <c r="U68" s="14">
        <f t="shared" ref="U68:U131" si="14">SUM(Q68:T68)</f>
        <v>13</v>
      </c>
      <c r="V68" t="b">
        <f t="shared" ref="V68:V131" si="15">Q68&gt;=1</f>
        <v>1</v>
      </c>
      <c r="W68" t="b">
        <f t="shared" ref="W68:W131" si="16">Q68&gt;=2</f>
        <v>1</v>
      </c>
      <c r="X68" t="b">
        <f t="shared" ref="X68:X131" si="17">Q68&gt;=3</f>
        <v>1</v>
      </c>
      <c r="Y68" t="b">
        <f t="shared" ref="Y68:Y131" si="18">Q68&gt;=4</f>
        <v>0</v>
      </c>
      <c r="Z68" t="b">
        <f t="shared" ref="Z68:Z131" si="19">Q68&gt;=5</f>
        <v>0</v>
      </c>
      <c r="AA68" t="b">
        <f t="shared" ref="AA68:AA131" si="20">Q68&gt;=6</f>
        <v>0</v>
      </c>
      <c r="AB68" t="b">
        <f t="shared" ref="AB68:AB131" si="21">Q68&gt;=7</f>
        <v>0</v>
      </c>
      <c r="AC68" t="b">
        <f t="shared" ref="AC68:AC131" si="22">Q68&gt;=8</f>
        <v>0</v>
      </c>
      <c r="AD68" t="b">
        <f t="shared" ref="AD68:AD131" si="23">Q68&gt;=9</f>
        <v>0</v>
      </c>
      <c r="AE68" t="b">
        <f t="shared" ref="AE68:AE131" si="24">Q68&gt;=10</f>
        <v>0</v>
      </c>
      <c r="AF68" t="b">
        <f t="shared" ref="AF68:AF131" si="25">Q68&gt;=11</f>
        <v>0</v>
      </c>
      <c r="AG68" t="b">
        <f t="shared" ref="AG68:AG131" si="26">Q68&gt;=12</f>
        <v>0</v>
      </c>
      <c r="AH68" t="b">
        <f t="shared" ref="AH68:AH131" si="27">Q68&gt;=13</f>
        <v>0</v>
      </c>
    </row>
    <row r="69" spans="1:34" x14ac:dyDescent="0.2">
      <c r="A69" s="12" t="s">
        <v>129</v>
      </c>
      <c r="B69" s="12" t="s">
        <v>128</v>
      </c>
      <c r="C69" s="13" t="s">
        <v>128</v>
      </c>
      <c r="D69" s="18">
        <v>0</v>
      </c>
      <c r="E69" s="18">
        <v>1</v>
      </c>
      <c r="F69" s="18">
        <v>1</v>
      </c>
      <c r="G69" s="18">
        <v>2</v>
      </c>
      <c r="H69" s="18">
        <v>0</v>
      </c>
      <c r="I69" s="18">
        <v>0</v>
      </c>
      <c r="J69" s="19">
        <v>0</v>
      </c>
      <c r="K69" s="18">
        <v>0</v>
      </c>
      <c r="L69" s="18">
        <v>0</v>
      </c>
      <c r="M69" s="18">
        <v>0</v>
      </c>
      <c r="N69" s="18"/>
      <c r="O69" s="18">
        <v>0</v>
      </c>
      <c r="P69" s="18">
        <v>0</v>
      </c>
      <c r="Q69" s="17">
        <v>1</v>
      </c>
      <c r="R69">
        <v>2</v>
      </c>
      <c r="S69">
        <v>9</v>
      </c>
      <c r="T69">
        <v>1</v>
      </c>
      <c r="U69" s="14">
        <f t="shared" si="14"/>
        <v>13</v>
      </c>
      <c r="V69" t="b">
        <f t="shared" si="15"/>
        <v>1</v>
      </c>
      <c r="W69" t="b">
        <f t="shared" si="16"/>
        <v>0</v>
      </c>
      <c r="X69" t="b">
        <f t="shared" si="17"/>
        <v>0</v>
      </c>
      <c r="Y69" t="b">
        <f t="shared" si="18"/>
        <v>0</v>
      </c>
      <c r="Z69" t="b">
        <f t="shared" si="19"/>
        <v>0</v>
      </c>
      <c r="AA69" t="b">
        <f t="shared" si="20"/>
        <v>0</v>
      </c>
      <c r="AB69" t="b">
        <f t="shared" si="21"/>
        <v>0</v>
      </c>
      <c r="AC69" t="b">
        <f t="shared" si="22"/>
        <v>0</v>
      </c>
      <c r="AD69" t="b">
        <f t="shared" si="23"/>
        <v>0</v>
      </c>
      <c r="AE69" t="b">
        <f t="shared" si="24"/>
        <v>0</v>
      </c>
      <c r="AF69" t="b">
        <f t="shared" si="25"/>
        <v>0</v>
      </c>
      <c r="AG69" t="b">
        <f t="shared" si="26"/>
        <v>0</v>
      </c>
      <c r="AH69" t="b">
        <f t="shared" si="27"/>
        <v>0</v>
      </c>
    </row>
    <row r="70" spans="1:34" x14ac:dyDescent="0.2">
      <c r="A70" s="12" t="s">
        <v>130</v>
      </c>
      <c r="B70" s="12" t="s">
        <v>128</v>
      </c>
      <c r="C70" s="13" t="s">
        <v>128</v>
      </c>
      <c r="D70" s="18">
        <v>0</v>
      </c>
      <c r="E70" s="18">
        <v>1</v>
      </c>
      <c r="F70" s="18">
        <v>1</v>
      </c>
      <c r="G70" s="18">
        <v>2</v>
      </c>
      <c r="H70" s="18">
        <v>0</v>
      </c>
      <c r="I70" s="18">
        <v>1</v>
      </c>
      <c r="J70" s="19">
        <v>0</v>
      </c>
      <c r="K70" s="18">
        <v>1</v>
      </c>
      <c r="L70" s="18">
        <v>1</v>
      </c>
      <c r="M70" s="18">
        <v>1</v>
      </c>
      <c r="N70" s="18"/>
      <c r="O70" s="18">
        <v>2</v>
      </c>
      <c r="P70" s="18">
        <v>0</v>
      </c>
      <c r="Q70" s="17">
        <v>2</v>
      </c>
      <c r="R70">
        <v>6</v>
      </c>
      <c r="S70">
        <v>4</v>
      </c>
      <c r="T70">
        <v>1</v>
      </c>
      <c r="U70" s="14">
        <f t="shared" si="14"/>
        <v>13</v>
      </c>
      <c r="V70" t="b">
        <f t="shared" si="15"/>
        <v>1</v>
      </c>
      <c r="W70" t="b">
        <f t="shared" si="16"/>
        <v>1</v>
      </c>
      <c r="X70" t="b">
        <f t="shared" si="17"/>
        <v>0</v>
      </c>
      <c r="Y70" t="b">
        <f t="shared" si="18"/>
        <v>0</v>
      </c>
      <c r="Z70" t="b">
        <f t="shared" si="19"/>
        <v>0</v>
      </c>
      <c r="AA70" t="b">
        <f t="shared" si="20"/>
        <v>0</v>
      </c>
      <c r="AB70" t="b">
        <f t="shared" si="21"/>
        <v>0</v>
      </c>
      <c r="AC70" t="b">
        <f t="shared" si="22"/>
        <v>0</v>
      </c>
      <c r="AD70" t="b">
        <f t="shared" si="23"/>
        <v>0</v>
      </c>
      <c r="AE70" t="b">
        <f t="shared" si="24"/>
        <v>0</v>
      </c>
      <c r="AF70" t="b">
        <f t="shared" si="25"/>
        <v>0</v>
      </c>
      <c r="AG70" t="b">
        <f t="shared" si="26"/>
        <v>0</v>
      </c>
      <c r="AH70" t="b">
        <f t="shared" si="27"/>
        <v>0</v>
      </c>
    </row>
    <row r="71" spans="1:34" x14ac:dyDescent="0.2">
      <c r="A71" s="12" t="s">
        <v>131</v>
      </c>
      <c r="B71" s="12" t="s">
        <v>128</v>
      </c>
      <c r="C71" s="13" t="s">
        <v>128</v>
      </c>
      <c r="D71" s="18">
        <v>0</v>
      </c>
      <c r="E71" s="18">
        <v>2</v>
      </c>
      <c r="F71" s="18">
        <v>1</v>
      </c>
      <c r="G71" s="18">
        <v>2</v>
      </c>
      <c r="H71" s="18">
        <v>1</v>
      </c>
      <c r="I71" s="18">
        <v>0</v>
      </c>
      <c r="J71" s="19">
        <v>1</v>
      </c>
      <c r="K71" s="18">
        <v>1</v>
      </c>
      <c r="L71" s="18">
        <v>2</v>
      </c>
      <c r="M71" s="18">
        <v>1</v>
      </c>
      <c r="N71" s="18"/>
      <c r="O71" s="18">
        <v>2</v>
      </c>
      <c r="P71" s="18">
        <v>1</v>
      </c>
      <c r="Q71" s="17">
        <v>4</v>
      </c>
      <c r="R71">
        <v>6</v>
      </c>
      <c r="S71">
        <v>2</v>
      </c>
      <c r="T71">
        <v>1</v>
      </c>
      <c r="U71" s="14">
        <f t="shared" si="14"/>
        <v>13</v>
      </c>
      <c r="V71" t="b">
        <f t="shared" si="15"/>
        <v>1</v>
      </c>
      <c r="W71" t="b">
        <f t="shared" si="16"/>
        <v>1</v>
      </c>
      <c r="X71" t="b">
        <f t="shared" si="17"/>
        <v>1</v>
      </c>
      <c r="Y71" t="b">
        <f t="shared" si="18"/>
        <v>1</v>
      </c>
      <c r="Z71" t="b">
        <f t="shared" si="19"/>
        <v>0</v>
      </c>
      <c r="AA71" t="b">
        <f t="shared" si="20"/>
        <v>0</v>
      </c>
      <c r="AB71" t="b">
        <f t="shared" si="21"/>
        <v>0</v>
      </c>
      <c r="AC71" t="b">
        <f t="shared" si="22"/>
        <v>0</v>
      </c>
      <c r="AD71" t="b">
        <f t="shared" si="23"/>
        <v>0</v>
      </c>
      <c r="AE71" t="b">
        <f t="shared" si="24"/>
        <v>0</v>
      </c>
      <c r="AF71" t="b">
        <f t="shared" si="25"/>
        <v>0</v>
      </c>
      <c r="AG71" t="b">
        <f t="shared" si="26"/>
        <v>0</v>
      </c>
      <c r="AH71" t="b">
        <f t="shared" si="27"/>
        <v>0</v>
      </c>
    </row>
    <row r="72" spans="1:34" x14ac:dyDescent="0.2">
      <c r="A72" s="12" t="s">
        <v>132</v>
      </c>
      <c r="B72" s="12" t="s">
        <v>133</v>
      </c>
      <c r="C72" s="13" t="s">
        <v>133</v>
      </c>
      <c r="D72" s="18">
        <v>0</v>
      </c>
      <c r="E72" s="18">
        <v>0</v>
      </c>
      <c r="F72" s="18">
        <v>1</v>
      </c>
      <c r="G72" s="18">
        <v>2</v>
      </c>
      <c r="H72" s="18">
        <v>0</v>
      </c>
      <c r="I72" s="18">
        <v>0</v>
      </c>
      <c r="J72" s="19">
        <v>1</v>
      </c>
      <c r="K72" s="18">
        <v>1</v>
      </c>
      <c r="L72" s="18">
        <v>1</v>
      </c>
      <c r="M72" s="18">
        <v>1</v>
      </c>
      <c r="N72" s="18">
        <v>1</v>
      </c>
      <c r="O72" s="18">
        <v>2</v>
      </c>
      <c r="P72" s="18">
        <v>2</v>
      </c>
      <c r="Q72" s="17">
        <v>3</v>
      </c>
      <c r="R72">
        <v>6</v>
      </c>
      <c r="S72">
        <v>4</v>
      </c>
      <c r="T72">
        <v>0</v>
      </c>
      <c r="U72" s="14">
        <f t="shared" si="14"/>
        <v>13</v>
      </c>
      <c r="V72" t="b">
        <f t="shared" si="15"/>
        <v>1</v>
      </c>
      <c r="W72" t="b">
        <f t="shared" si="16"/>
        <v>1</v>
      </c>
      <c r="X72" t="b">
        <f t="shared" si="17"/>
        <v>1</v>
      </c>
      <c r="Y72" t="b">
        <f t="shared" si="18"/>
        <v>0</v>
      </c>
      <c r="Z72" t="b">
        <f t="shared" si="19"/>
        <v>0</v>
      </c>
      <c r="AA72" t="b">
        <f t="shared" si="20"/>
        <v>0</v>
      </c>
      <c r="AB72" t="b">
        <f t="shared" si="21"/>
        <v>0</v>
      </c>
      <c r="AC72" t="b">
        <f t="shared" si="22"/>
        <v>0</v>
      </c>
      <c r="AD72" t="b">
        <f t="shared" si="23"/>
        <v>0</v>
      </c>
      <c r="AE72" t="b">
        <f t="shared" si="24"/>
        <v>0</v>
      </c>
      <c r="AF72" t="b">
        <f t="shared" si="25"/>
        <v>0</v>
      </c>
      <c r="AG72" t="b">
        <f t="shared" si="26"/>
        <v>0</v>
      </c>
      <c r="AH72" t="b">
        <f t="shared" si="27"/>
        <v>0</v>
      </c>
    </row>
    <row r="73" spans="1:34" x14ac:dyDescent="0.2">
      <c r="A73" s="12" t="s">
        <v>134</v>
      </c>
      <c r="B73" s="12" t="s">
        <v>133</v>
      </c>
      <c r="C73" s="13" t="s">
        <v>133</v>
      </c>
      <c r="D73" s="18">
        <v>1</v>
      </c>
      <c r="E73" s="18">
        <v>2</v>
      </c>
      <c r="F73" s="18">
        <v>2</v>
      </c>
      <c r="G73" s="18">
        <v>2</v>
      </c>
      <c r="H73" s="18">
        <v>0</v>
      </c>
      <c r="I73" s="18">
        <v>1</v>
      </c>
      <c r="J73" s="19">
        <v>1</v>
      </c>
      <c r="K73" s="18">
        <v>2</v>
      </c>
      <c r="L73" s="18">
        <v>1</v>
      </c>
      <c r="M73" s="18">
        <v>2</v>
      </c>
      <c r="N73" s="18">
        <v>1</v>
      </c>
      <c r="O73" s="18">
        <v>2</v>
      </c>
      <c r="P73" s="18">
        <v>1</v>
      </c>
      <c r="Q73" s="17">
        <v>6</v>
      </c>
      <c r="R73">
        <v>6</v>
      </c>
      <c r="S73">
        <v>1</v>
      </c>
      <c r="T73">
        <v>0</v>
      </c>
      <c r="U73" s="14">
        <f t="shared" si="14"/>
        <v>13</v>
      </c>
      <c r="V73" t="b">
        <f t="shared" si="15"/>
        <v>1</v>
      </c>
      <c r="W73" t="b">
        <f t="shared" si="16"/>
        <v>1</v>
      </c>
      <c r="X73" t="b">
        <f t="shared" si="17"/>
        <v>1</v>
      </c>
      <c r="Y73" t="b">
        <f t="shared" si="18"/>
        <v>1</v>
      </c>
      <c r="Z73" t="b">
        <f t="shared" si="19"/>
        <v>1</v>
      </c>
      <c r="AA73" t="b">
        <f t="shared" si="20"/>
        <v>1</v>
      </c>
      <c r="AB73" t="b">
        <f t="shared" si="21"/>
        <v>0</v>
      </c>
      <c r="AC73" t="b">
        <f t="shared" si="22"/>
        <v>0</v>
      </c>
      <c r="AD73" t="b">
        <f t="shared" si="23"/>
        <v>0</v>
      </c>
      <c r="AE73" t="b">
        <f t="shared" si="24"/>
        <v>0</v>
      </c>
      <c r="AF73" t="b">
        <f t="shared" si="25"/>
        <v>0</v>
      </c>
      <c r="AG73" t="b">
        <f t="shared" si="26"/>
        <v>0</v>
      </c>
      <c r="AH73" t="b">
        <f t="shared" si="27"/>
        <v>0</v>
      </c>
    </row>
    <row r="74" spans="1:34" x14ac:dyDescent="0.2">
      <c r="A74" s="12" t="s">
        <v>135</v>
      </c>
      <c r="B74" s="12" t="s">
        <v>133</v>
      </c>
      <c r="C74" s="13" t="s">
        <v>133</v>
      </c>
      <c r="D74" s="18">
        <v>0</v>
      </c>
      <c r="E74" s="18">
        <v>2</v>
      </c>
      <c r="F74" s="18">
        <v>1</v>
      </c>
      <c r="G74" s="18">
        <v>2</v>
      </c>
      <c r="H74" s="18">
        <v>0</v>
      </c>
      <c r="I74" s="18">
        <v>0</v>
      </c>
      <c r="J74" s="19">
        <v>1</v>
      </c>
      <c r="K74" s="18">
        <v>1</v>
      </c>
      <c r="L74" s="18">
        <v>2</v>
      </c>
      <c r="M74" s="18">
        <v>2</v>
      </c>
      <c r="N74" s="18"/>
      <c r="O74" s="18">
        <v>2</v>
      </c>
      <c r="P74" s="18">
        <v>1</v>
      </c>
      <c r="Q74" s="17">
        <v>5</v>
      </c>
      <c r="R74">
        <v>4</v>
      </c>
      <c r="S74">
        <v>3</v>
      </c>
      <c r="T74">
        <v>1</v>
      </c>
      <c r="U74" s="14">
        <f t="shared" si="14"/>
        <v>13</v>
      </c>
      <c r="V74" t="b">
        <f t="shared" si="15"/>
        <v>1</v>
      </c>
      <c r="W74" t="b">
        <f t="shared" si="16"/>
        <v>1</v>
      </c>
      <c r="X74" t="b">
        <f t="shared" si="17"/>
        <v>1</v>
      </c>
      <c r="Y74" t="b">
        <f t="shared" si="18"/>
        <v>1</v>
      </c>
      <c r="Z74" t="b">
        <f t="shared" si="19"/>
        <v>1</v>
      </c>
      <c r="AA74" t="b">
        <f t="shared" si="20"/>
        <v>0</v>
      </c>
      <c r="AB74" t="b">
        <f t="shared" si="21"/>
        <v>0</v>
      </c>
      <c r="AC74" t="b">
        <f t="shared" si="22"/>
        <v>0</v>
      </c>
      <c r="AD74" t="b">
        <f t="shared" si="23"/>
        <v>0</v>
      </c>
      <c r="AE74" t="b">
        <f t="shared" si="24"/>
        <v>0</v>
      </c>
      <c r="AF74" t="b">
        <f t="shared" si="25"/>
        <v>0</v>
      </c>
      <c r="AG74" t="b">
        <f t="shared" si="26"/>
        <v>0</v>
      </c>
      <c r="AH74" t="b">
        <f t="shared" si="27"/>
        <v>0</v>
      </c>
    </row>
    <row r="75" spans="1:34" x14ac:dyDescent="0.2">
      <c r="A75" s="12" t="s">
        <v>136</v>
      </c>
      <c r="B75" s="12" t="s">
        <v>137</v>
      </c>
      <c r="C75" s="13" t="s">
        <v>137</v>
      </c>
      <c r="D75" s="18">
        <v>0</v>
      </c>
      <c r="E75" s="18">
        <v>2</v>
      </c>
      <c r="F75" s="18">
        <v>1</v>
      </c>
      <c r="G75" s="18">
        <v>1</v>
      </c>
      <c r="H75" s="18">
        <v>0</v>
      </c>
      <c r="I75" s="18">
        <v>0</v>
      </c>
      <c r="J75" s="19">
        <v>0</v>
      </c>
      <c r="K75" s="18">
        <v>0</v>
      </c>
      <c r="L75" s="18">
        <v>2</v>
      </c>
      <c r="M75" s="18">
        <v>1</v>
      </c>
      <c r="N75" s="18"/>
      <c r="O75" s="18">
        <v>2</v>
      </c>
      <c r="P75" s="18">
        <v>0</v>
      </c>
      <c r="Q75" s="17">
        <v>3</v>
      </c>
      <c r="R75">
        <v>3</v>
      </c>
      <c r="S75">
        <v>6</v>
      </c>
      <c r="T75">
        <v>1</v>
      </c>
      <c r="U75" s="14">
        <f t="shared" si="14"/>
        <v>13</v>
      </c>
      <c r="V75" t="b">
        <f t="shared" si="15"/>
        <v>1</v>
      </c>
      <c r="W75" t="b">
        <f t="shared" si="16"/>
        <v>1</v>
      </c>
      <c r="X75" t="b">
        <f t="shared" si="17"/>
        <v>1</v>
      </c>
      <c r="Y75" t="b">
        <f t="shared" si="18"/>
        <v>0</v>
      </c>
      <c r="Z75" t="b">
        <f t="shared" si="19"/>
        <v>0</v>
      </c>
      <c r="AA75" t="b">
        <f t="shared" si="20"/>
        <v>0</v>
      </c>
      <c r="AB75" t="b">
        <f t="shared" si="21"/>
        <v>0</v>
      </c>
      <c r="AC75" t="b">
        <f t="shared" si="22"/>
        <v>0</v>
      </c>
      <c r="AD75" t="b">
        <f t="shared" si="23"/>
        <v>0</v>
      </c>
      <c r="AE75" t="b">
        <f t="shared" si="24"/>
        <v>0</v>
      </c>
      <c r="AF75" t="b">
        <f t="shared" si="25"/>
        <v>0</v>
      </c>
      <c r="AG75" t="b">
        <f t="shared" si="26"/>
        <v>0</v>
      </c>
      <c r="AH75" t="b">
        <f t="shared" si="27"/>
        <v>0</v>
      </c>
    </row>
    <row r="76" spans="1:34" x14ac:dyDescent="0.2">
      <c r="A76" s="12" t="s">
        <v>138</v>
      </c>
      <c r="B76" s="12" t="s">
        <v>139</v>
      </c>
      <c r="C76" s="13" t="s">
        <v>139</v>
      </c>
      <c r="D76" s="18">
        <v>1</v>
      </c>
      <c r="E76" s="18">
        <v>2</v>
      </c>
      <c r="F76" s="18">
        <v>2</v>
      </c>
      <c r="G76" s="18">
        <v>2</v>
      </c>
      <c r="H76" s="18">
        <v>2</v>
      </c>
      <c r="I76" s="18">
        <v>2</v>
      </c>
      <c r="J76" s="19">
        <v>1</v>
      </c>
      <c r="K76" s="18">
        <v>2</v>
      </c>
      <c r="L76" s="18">
        <v>1</v>
      </c>
      <c r="M76" s="18">
        <v>2</v>
      </c>
      <c r="N76" s="18">
        <v>0</v>
      </c>
      <c r="O76" s="18">
        <v>2</v>
      </c>
      <c r="P76" s="18">
        <v>1</v>
      </c>
      <c r="Q76" s="17">
        <v>8</v>
      </c>
      <c r="R76">
        <v>4</v>
      </c>
      <c r="S76">
        <v>1</v>
      </c>
      <c r="T76">
        <v>0</v>
      </c>
      <c r="U76" s="14">
        <f t="shared" si="14"/>
        <v>13</v>
      </c>
      <c r="V76" t="b">
        <f t="shared" si="15"/>
        <v>1</v>
      </c>
      <c r="W76" t="b">
        <f t="shared" si="16"/>
        <v>1</v>
      </c>
      <c r="X76" t="b">
        <f t="shared" si="17"/>
        <v>1</v>
      </c>
      <c r="Y76" t="b">
        <f t="shared" si="18"/>
        <v>1</v>
      </c>
      <c r="Z76" t="b">
        <f t="shared" si="19"/>
        <v>1</v>
      </c>
      <c r="AA76" t="b">
        <f t="shared" si="20"/>
        <v>1</v>
      </c>
      <c r="AB76" t="b">
        <f t="shared" si="21"/>
        <v>1</v>
      </c>
      <c r="AC76" t="b">
        <f t="shared" si="22"/>
        <v>1</v>
      </c>
      <c r="AD76" t="b">
        <f t="shared" si="23"/>
        <v>0</v>
      </c>
      <c r="AE76" t="b">
        <f t="shared" si="24"/>
        <v>0</v>
      </c>
      <c r="AF76" t="b">
        <f t="shared" si="25"/>
        <v>0</v>
      </c>
      <c r="AG76" t="b">
        <f t="shared" si="26"/>
        <v>0</v>
      </c>
      <c r="AH76" t="b">
        <f t="shared" si="27"/>
        <v>0</v>
      </c>
    </row>
    <row r="77" spans="1:34" x14ac:dyDescent="0.2">
      <c r="A77" s="12" t="s">
        <v>140</v>
      </c>
      <c r="B77" s="12" t="s">
        <v>139</v>
      </c>
      <c r="C77" s="13" t="s">
        <v>139</v>
      </c>
      <c r="D77" s="18">
        <v>1</v>
      </c>
      <c r="E77" s="18">
        <v>1</v>
      </c>
      <c r="F77" s="18">
        <v>1</v>
      </c>
      <c r="G77" s="18">
        <v>2</v>
      </c>
      <c r="H77" s="18">
        <v>0</v>
      </c>
      <c r="I77" s="18">
        <v>1</v>
      </c>
      <c r="J77" s="19">
        <v>1</v>
      </c>
      <c r="K77" s="18">
        <v>1</v>
      </c>
      <c r="L77" s="18">
        <v>1</v>
      </c>
      <c r="M77" s="18">
        <v>2</v>
      </c>
      <c r="N77" s="18">
        <v>0</v>
      </c>
      <c r="O77" s="18">
        <v>2</v>
      </c>
      <c r="P77" s="18">
        <v>1</v>
      </c>
      <c r="Q77" s="17">
        <v>3</v>
      </c>
      <c r="R77">
        <v>8</v>
      </c>
      <c r="S77">
        <v>2</v>
      </c>
      <c r="T77">
        <v>0</v>
      </c>
      <c r="U77" s="14">
        <f t="shared" si="14"/>
        <v>13</v>
      </c>
      <c r="V77" t="b">
        <f t="shared" si="15"/>
        <v>1</v>
      </c>
      <c r="W77" t="b">
        <f t="shared" si="16"/>
        <v>1</v>
      </c>
      <c r="X77" t="b">
        <f t="shared" si="17"/>
        <v>1</v>
      </c>
      <c r="Y77" t="b">
        <f t="shared" si="18"/>
        <v>0</v>
      </c>
      <c r="Z77" t="b">
        <f t="shared" si="19"/>
        <v>0</v>
      </c>
      <c r="AA77" t="b">
        <f t="shared" si="20"/>
        <v>0</v>
      </c>
      <c r="AB77" t="b">
        <f t="shared" si="21"/>
        <v>0</v>
      </c>
      <c r="AC77" t="b">
        <f t="shared" si="22"/>
        <v>0</v>
      </c>
      <c r="AD77" t="b">
        <f t="shared" si="23"/>
        <v>0</v>
      </c>
      <c r="AE77" t="b">
        <f t="shared" si="24"/>
        <v>0</v>
      </c>
      <c r="AF77" t="b">
        <f t="shared" si="25"/>
        <v>0</v>
      </c>
      <c r="AG77" t="b">
        <f t="shared" si="26"/>
        <v>0</v>
      </c>
      <c r="AH77" t="b">
        <f t="shared" si="27"/>
        <v>0</v>
      </c>
    </row>
    <row r="78" spans="1:34" x14ac:dyDescent="0.2">
      <c r="A78" s="12" t="s">
        <v>141</v>
      </c>
      <c r="B78" s="12" t="s">
        <v>139</v>
      </c>
      <c r="C78" s="13" t="s">
        <v>139</v>
      </c>
      <c r="D78" s="18">
        <v>1</v>
      </c>
      <c r="E78" s="18">
        <v>2</v>
      </c>
      <c r="F78" s="18">
        <v>2</v>
      </c>
      <c r="G78" s="18">
        <v>2</v>
      </c>
      <c r="H78" s="18">
        <v>1</v>
      </c>
      <c r="I78" s="18">
        <v>1</v>
      </c>
      <c r="J78" s="19">
        <v>1</v>
      </c>
      <c r="K78" s="18">
        <v>2</v>
      </c>
      <c r="L78" s="18">
        <v>1</v>
      </c>
      <c r="M78" s="18">
        <v>2</v>
      </c>
      <c r="N78" s="18"/>
      <c r="O78" s="18">
        <v>2</v>
      </c>
      <c r="P78" s="18">
        <v>1</v>
      </c>
      <c r="Q78" s="17">
        <v>6</v>
      </c>
      <c r="R78">
        <v>6</v>
      </c>
      <c r="S78">
        <v>0</v>
      </c>
      <c r="T78">
        <v>1</v>
      </c>
      <c r="U78" s="14">
        <f t="shared" si="14"/>
        <v>13</v>
      </c>
      <c r="V78" t="b">
        <f t="shared" si="15"/>
        <v>1</v>
      </c>
      <c r="W78" t="b">
        <f t="shared" si="16"/>
        <v>1</v>
      </c>
      <c r="X78" t="b">
        <f t="shared" si="17"/>
        <v>1</v>
      </c>
      <c r="Y78" t="b">
        <f t="shared" si="18"/>
        <v>1</v>
      </c>
      <c r="Z78" t="b">
        <f t="shared" si="19"/>
        <v>1</v>
      </c>
      <c r="AA78" t="b">
        <f t="shared" si="20"/>
        <v>1</v>
      </c>
      <c r="AB78" t="b">
        <f t="shared" si="21"/>
        <v>0</v>
      </c>
      <c r="AC78" t="b">
        <f t="shared" si="22"/>
        <v>0</v>
      </c>
      <c r="AD78" t="b">
        <f t="shared" si="23"/>
        <v>0</v>
      </c>
      <c r="AE78" t="b">
        <f t="shared" si="24"/>
        <v>0</v>
      </c>
      <c r="AF78" t="b">
        <f t="shared" si="25"/>
        <v>0</v>
      </c>
      <c r="AG78" t="b">
        <f t="shared" si="26"/>
        <v>0</v>
      </c>
      <c r="AH78" t="b">
        <f t="shared" si="27"/>
        <v>0</v>
      </c>
    </row>
    <row r="79" spans="1:34" x14ac:dyDescent="0.2">
      <c r="A79" s="12" t="s">
        <v>142</v>
      </c>
      <c r="B79" s="12" t="s">
        <v>139</v>
      </c>
      <c r="C79" s="13" t="s">
        <v>139</v>
      </c>
      <c r="D79" s="18">
        <v>1</v>
      </c>
      <c r="E79" s="18">
        <v>1</v>
      </c>
      <c r="F79" s="18">
        <v>2</v>
      </c>
      <c r="G79" s="18">
        <v>2</v>
      </c>
      <c r="H79" s="18">
        <v>2</v>
      </c>
      <c r="I79" s="18">
        <v>2</v>
      </c>
      <c r="J79" s="19">
        <v>2</v>
      </c>
      <c r="K79" s="18">
        <v>1</v>
      </c>
      <c r="L79" s="18">
        <v>1</v>
      </c>
      <c r="M79" s="18">
        <v>2</v>
      </c>
      <c r="N79" s="18">
        <v>0</v>
      </c>
      <c r="O79" s="18">
        <v>2</v>
      </c>
      <c r="P79" s="18">
        <v>1</v>
      </c>
      <c r="Q79" s="17">
        <v>7</v>
      </c>
      <c r="R79">
        <v>5</v>
      </c>
      <c r="S79">
        <v>1</v>
      </c>
      <c r="T79">
        <v>0</v>
      </c>
      <c r="U79" s="14">
        <f t="shared" si="14"/>
        <v>13</v>
      </c>
      <c r="V79" t="b">
        <f t="shared" si="15"/>
        <v>1</v>
      </c>
      <c r="W79" t="b">
        <f t="shared" si="16"/>
        <v>1</v>
      </c>
      <c r="X79" t="b">
        <f t="shared" si="17"/>
        <v>1</v>
      </c>
      <c r="Y79" t="b">
        <f t="shared" si="18"/>
        <v>1</v>
      </c>
      <c r="Z79" t="b">
        <f t="shared" si="19"/>
        <v>1</v>
      </c>
      <c r="AA79" t="b">
        <f t="shared" si="20"/>
        <v>1</v>
      </c>
      <c r="AB79" t="b">
        <f t="shared" si="21"/>
        <v>1</v>
      </c>
      <c r="AC79" t="b">
        <f t="shared" si="22"/>
        <v>0</v>
      </c>
      <c r="AD79" t="b">
        <f t="shared" si="23"/>
        <v>0</v>
      </c>
      <c r="AE79" t="b">
        <f t="shared" si="24"/>
        <v>0</v>
      </c>
      <c r="AF79" t="b">
        <f t="shared" si="25"/>
        <v>0</v>
      </c>
      <c r="AG79" t="b">
        <f t="shared" si="26"/>
        <v>0</v>
      </c>
      <c r="AH79" t="b">
        <f t="shared" si="27"/>
        <v>0</v>
      </c>
    </row>
    <row r="80" spans="1:34" x14ac:dyDescent="0.2">
      <c r="A80" s="12" t="s">
        <v>143</v>
      </c>
      <c r="B80" s="12" t="s">
        <v>139</v>
      </c>
      <c r="C80" s="13" t="s">
        <v>139</v>
      </c>
      <c r="D80" s="18">
        <v>1</v>
      </c>
      <c r="E80" s="18">
        <v>0</v>
      </c>
      <c r="F80" s="18">
        <v>2</v>
      </c>
      <c r="G80" s="18">
        <v>2</v>
      </c>
      <c r="H80" s="18">
        <v>2</v>
      </c>
      <c r="I80" s="18">
        <v>1</v>
      </c>
      <c r="J80" s="19">
        <v>2</v>
      </c>
      <c r="K80" s="18">
        <v>0</v>
      </c>
      <c r="L80" s="18">
        <v>1</v>
      </c>
      <c r="M80" s="18">
        <v>2</v>
      </c>
      <c r="N80" s="18"/>
      <c r="O80" s="18">
        <v>2</v>
      </c>
      <c r="P80" s="18">
        <v>1</v>
      </c>
      <c r="Q80" s="17">
        <v>6</v>
      </c>
      <c r="R80">
        <v>4</v>
      </c>
      <c r="S80">
        <v>2</v>
      </c>
      <c r="T80">
        <v>1</v>
      </c>
      <c r="U80" s="14">
        <f t="shared" si="14"/>
        <v>13</v>
      </c>
      <c r="V80" t="b">
        <f t="shared" si="15"/>
        <v>1</v>
      </c>
      <c r="W80" t="b">
        <f t="shared" si="16"/>
        <v>1</v>
      </c>
      <c r="X80" t="b">
        <f t="shared" si="17"/>
        <v>1</v>
      </c>
      <c r="Y80" t="b">
        <f t="shared" si="18"/>
        <v>1</v>
      </c>
      <c r="Z80" t="b">
        <f t="shared" si="19"/>
        <v>1</v>
      </c>
      <c r="AA80" t="b">
        <f t="shared" si="20"/>
        <v>1</v>
      </c>
      <c r="AB80" t="b">
        <f t="shared" si="21"/>
        <v>0</v>
      </c>
      <c r="AC80" t="b">
        <f t="shared" si="22"/>
        <v>0</v>
      </c>
      <c r="AD80" t="b">
        <f t="shared" si="23"/>
        <v>0</v>
      </c>
      <c r="AE80" t="b">
        <f t="shared" si="24"/>
        <v>0</v>
      </c>
      <c r="AF80" t="b">
        <f t="shared" si="25"/>
        <v>0</v>
      </c>
      <c r="AG80" t="b">
        <f t="shared" si="26"/>
        <v>0</v>
      </c>
      <c r="AH80" t="b">
        <f t="shared" si="27"/>
        <v>0</v>
      </c>
    </row>
    <row r="81" spans="1:34" x14ac:dyDescent="0.2">
      <c r="A81" s="12" t="s">
        <v>125</v>
      </c>
      <c r="B81" s="12" t="s">
        <v>139</v>
      </c>
      <c r="C81" s="13" t="s">
        <v>139</v>
      </c>
      <c r="D81" s="18">
        <v>1</v>
      </c>
      <c r="E81" s="18">
        <v>0</v>
      </c>
      <c r="F81" s="18">
        <v>2</v>
      </c>
      <c r="G81" s="18">
        <v>2</v>
      </c>
      <c r="H81" s="18">
        <v>1</v>
      </c>
      <c r="I81" s="18">
        <v>1</v>
      </c>
      <c r="J81" s="19">
        <v>2</v>
      </c>
      <c r="K81" s="18">
        <v>0</v>
      </c>
      <c r="L81" s="18">
        <v>1</v>
      </c>
      <c r="M81" s="18">
        <v>2</v>
      </c>
      <c r="N81" s="18"/>
      <c r="O81" s="18">
        <v>2</v>
      </c>
      <c r="P81" s="18">
        <v>1</v>
      </c>
      <c r="Q81" s="17">
        <v>5</v>
      </c>
      <c r="R81">
        <v>5</v>
      </c>
      <c r="S81">
        <v>2</v>
      </c>
      <c r="T81">
        <v>1</v>
      </c>
      <c r="U81" s="14">
        <f t="shared" si="14"/>
        <v>13</v>
      </c>
      <c r="V81" t="b">
        <f t="shared" si="15"/>
        <v>1</v>
      </c>
      <c r="W81" t="b">
        <f t="shared" si="16"/>
        <v>1</v>
      </c>
      <c r="X81" t="b">
        <f t="shared" si="17"/>
        <v>1</v>
      </c>
      <c r="Y81" t="b">
        <f t="shared" si="18"/>
        <v>1</v>
      </c>
      <c r="Z81" t="b">
        <f t="shared" si="19"/>
        <v>1</v>
      </c>
      <c r="AA81" t="b">
        <f t="shared" si="20"/>
        <v>0</v>
      </c>
      <c r="AB81" t="b">
        <f t="shared" si="21"/>
        <v>0</v>
      </c>
      <c r="AC81" t="b">
        <f t="shared" si="22"/>
        <v>0</v>
      </c>
      <c r="AD81" t="b">
        <f t="shared" si="23"/>
        <v>0</v>
      </c>
      <c r="AE81" t="b">
        <f t="shared" si="24"/>
        <v>0</v>
      </c>
      <c r="AF81" t="b">
        <f t="shared" si="25"/>
        <v>0</v>
      </c>
      <c r="AG81" t="b">
        <f t="shared" si="26"/>
        <v>0</v>
      </c>
      <c r="AH81" t="b">
        <f t="shared" si="27"/>
        <v>0</v>
      </c>
    </row>
    <row r="82" spans="1:34" x14ac:dyDescent="0.2">
      <c r="A82" s="12" t="s">
        <v>144</v>
      </c>
      <c r="B82" s="12" t="s">
        <v>139</v>
      </c>
      <c r="C82" s="13" t="s">
        <v>139</v>
      </c>
      <c r="D82" s="18">
        <v>0</v>
      </c>
      <c r="E82" s="18">
        <v>1</v>
      </c>
      <c r="F82" s="18">
        <v>2</v>
      </c>
      <c r="G82" s="18">
        <v>1</v>
      </c>
      <c r="H82" s="18">
        <v>0</v>
      </c>
      <c r="I82" s="18">
        <v>1</v>
      </c>
      <c r="J82" s="19">
        <v>1</v>
      </c>
      <c r="K82" s="18">
        <v>0</v>
      </c>
      <c r="L82" s="18">
        <v>1</v>
      </c>
      <c r="M82" s="18">
        <v>0</v>
      </c>
      <c r="N82" s="18"/>
      <c r="O82" s="18">
        <v>2</v>
      </c>
      <c r="P82" s="18">
        <v>0</v>
      </c>
      <c r="Q82" s="17">
        <v>2</v>
      </c>
      <c r="R82">
        <v>5</v>
      </c>
      <c r="S82">
        <v>5</v>
      </c>
      <c r="T82">
        <v>1</v>
      </c>
      <c r="U82" s="14">
        <f t="shared" si="14"/>
        <v>13</v>
      </c>
      <c r="V82" t="b">
        <f t="shared" si="15"/>
        <v>1</v>
      </c>
      <c r="W82" t="b">
        <f t="shared" si="16"/>
        <v>1</v>
      </c>
      <c r="X82" t="b">
        <f t="shared" si="17"/>
        <v>0</v>
      </c>
      <c r="Y82" t="b">
        <f t="shared" si="18"/>
        <v>0</v>
      </c>
      <c r="Z82" t="b">
        <f t="shared" si="19"/>
        <v>0</v>
      </c>
      <c r="AA82" t="b">
        <f t="shared" si="20"/>
        <v>0</v>
      </c>
      <c r="AB82" t="b">
        <f t="shared" si="21"/>
        <v>0</v>
      </c>
      <c r="AC82" t="b">
        <f t="shared" si="22"/>
        <v>0</v>
      </c>
      <c r="AD82" t="b">
        <f t="shared" si="23"/>
        <v>0</v>
      </c>
      <c r="AE82" t="b">
        <f t="shared" si="24"/>
        <v>0</v>
      </c>
      <c r="AF82" t="b">
        <f t="shared" si="25"/>
        <v>0</v>
      </c>
      <c r="AG82" t="b">
        <f t="shared" si="26"/>
        <v>0</v>
      </c>
      <c r="AH82" t="b">
        <f t="shared" si="27"/>
        <v>0</v>
      </c>
    </row>
    <row r="83" spans="1:34" x14ac:dyDescent="0.2">
      <c r="A83" s="12" t="s">
        <v>145</v>
      </c>
      <c r="B83" s="12" t="s">
        <v>139</v>
      </c>
      <c r="C83" s="13" t="s">
        <v>139</v>
      </c>
      <c r="D83" s="18">
        <v>0</v>
      </c>
      <c r="E83" s="18">
        <v>0</v>
      </c>
      <c r="F83" s="18">
        <v>0</v>
      </c>
      <c r="G83" s="18">
        <v>0</v>
      </c>
      <c r="H83" s="18">
        <v>0</v>
      </c>
      <c r="I83" s="18">
        <v>1</v>
      </c>
      <c r="J83" s="19">
        <v>0</v>
      </c>
      <c r="K83" s="18">
        <v>0</v>
      </c>
      <c r="L83" s="18">
        <v>0</v>
      </c>
      <c r="M83" s="18">
        <v>0</v>
      </c>
      <c r="N83" s="18">
        <v>0</v>
      </c>
      <c r="O83" s="18">
        <v>0</v>
      </c>
      <c r="P83" s="18">
        <v>0</v>
      </c>
      <c r="Q83" s="17">
        <v>0</v>
      </c>
      <c r="R83">
        <v>1</v>
      </c>
      <c r="S83">
        <v>12</v>
      </c>
      <c r="T83">
        <v>0</v>
      </c>
      <c r="U83" s="14">
        <f t="shared" si="14"/>
        <v>13</v>
      </c>
      <c r="V83" t="b">
        <f t="shared" si="15"/>
        <v>0</v>
      </c>
      <c r="W83" t="b">
        <f t="shared" si="16"/>
        <v>0</v>
      </c>
      <c r="X83" t="b">
        <f t="shared" si="17"/>
        <v>0</v>
      </c>
      <c r="Y83" t="b">
        <f t="shared" si="18"/>
        <v>0</v>
      </c>
      <c r="Z83" t="b">
        <f t="shared" si="19"/>
        <v>0</v>
      </c>
      <c r="AA83" t="b">
        <f t="shared" si="20"/>
        <v>0</v>
      </c>
      <c r="AB83" t="b">
        <f t="shared" si="21"/>
        <v>0</v>
      </c>
      <c r="AC83" t="b">
        <f t="shared" si="22"/>
        <v>0</v>
      </c>
      <c r="AD83" t="b">
        <f t="shared" si="23"/>
        <v>0</v>
      </c>
      <c r="AE83" t="b">
        <f t="shared" si="24"/>
        <v>0</v>
      </c>
      <c r="AF83" t="b">
        <f t="shared" si="25"/>
        <v>0</v>
      </c>
      <c r="AG83" t="b">
        <f t="shared" si="26"/>
        <v>0</v>
      </c>
      <c r="AH83" t="b">
        <f t="shared" si="27"/>
        <v>0</v>
      </c>
    </row>
    <row r="84" spans="1:34" x14ac:dyDescent="0.2">
      <c r="A84" s="12" t="s">
        <v>123</v>
      </c>
      <c r="B84" s="12" t="s">
        <v>146</v>
      </c>
      <c r="C84" s="13" t="s">
        <v>146</v>
      </c>
      <c r="D84" s="18">
        <v>0</v>
      </c>
      <c r="E84" s="18">
        <v>0</v>
      </c>
      <c r="F84" s="18">
        <v>0</v>
      </c>
      <c r="G84" s="18">
        <v>0</v>
      </c>
      <c r="H84" s="18">
        <v>0</v>
      </c>
      <c r="I84" s="18">
        <v>0</v>
      </c>
      <c r="J84" s="19">
        <v>0</v>
      </c>
      <c r="K84" s="18">
        <v>0</v>
      </c>
      <c r="L84" s="18">
        <v>0</v>
      </c>
      <c r="M84" s="18">
        <v>0</v>
      </c>
      <c r="N84" s="18">
        <v>0</v>
      </c>
      <c r="O84" s="18">
        <v>0</v>
      </c>
      <c r="P84" s="18">
        <v>0</v>
      </c>
      <c r="Q84" s="17">
        <v>0</v>
      </c>
      <c r="R84">
        <v>0</v>
      </c>
      <c r="S84">
        <v>13</v>
      </c>
      <c r="T84">
        <v>0</v>
      </c>
      <c r="U84" s="14">
        <f t="shared" si="14"/>
        <v>13</v>
      </c>
      <c r="V84" t="b">
        <f t="shared" si="15"/>
        <v>0</v>
      </c>
      <c r="W84" t="b">
        <f t="shared" si="16"/>
        <v>0</v>
      </c>
      <c r="X84" t="b">
        <f t="shared" si="17"/>
        <v>0</v>
      </c>
      <c r="Y84" t="b">
        <f t="shared" si="18"/>
        <v>0</v>
      </c>
      <c r="Z84" t="b">
        <f t="shared" si="19"/>
        <v>0</v>
      </c>
      <c r="AA84" t="b">
        <f t="shared" si="20"/>
        <v>0</v>
      </c>
      <c r="AB84" t="b">
        <f t="shared" si="21"/>
        <v>0</v>
      </c>
      <c r="AC84" t="b">
        <f t="shared" si="22"/>
        <v>0</v>
      </c>
      <c r="AD84" t="b">
        <f t="shared" si="23"/>
        <v>0</v>
      </c>
      <c r="AE84" t="b">
        <f t="shared" si="24"/>
        <v>0</v>
      </c>
      <c r="AF84" t="b">
        <f t="shared" si="25"/>
        <v>0</v>
      </c>
      <c r="AG84" t="b">
        <f t="shared" si="26"/>
        <v>0</v>
      </c>
      <c r="AH84" t="b">
        <f t="shared" si="27"/>
        <v>0</v>
      </c>
    </row>
    <row r="85" spans="1:34" x14ac:dyDescent="0.2">
      <c r="A85" s="12" t="s">
        <v>142</v>
      </c>
      <c r="B85" s="12" t="s">
        <v>69</v>
      </c>
      <c r="C85" s="13" t="s">
        <v>69</v>
      </c>
      <c r="D85" s="18">
        <v>1</v>
      </c>
      <c r="E85" s="18">
        <v>0</v>
      </c>
      <c r="F85" s="18">
        <v>2</v>
      </c>
      <c r="G85" s="18">
        <v>2</v>
      </c>
      <c r="H85" s="18">
        <v>0</v>
      </c>
      <c r="I85" s="18">
        <v>0</v>
      </c>
      <c r="J85" s="19">
        <v>1</v>
      </c>
      <c r="K85" s="18">
        <v>1</v>
      </c>
      <c r="L85" s="18">
        <v>1</v>
      </c>
      <c r="M85" s="18">
        <v>2</v>
      </c>
      <c r="N85" s="18">
        <v>1</v>
      </c>
      <c r="O85" s="18">
        <v>2</v>
      </c>
      <c r="P85" s="18">
        <v>0</v>
      </c>
      <c r="Q85" s="17">
        <v>4</v>
      </c>
      <c r="R85">
        <v>5</v>
      </c>
      <c r="S85">
        <v>4</v>
      </c>
      <c r="T85">
        <v>0</v>
      </c>
      <c r="U85" s="14">
        <f t="shared" si="14"/>
        <v>13</v>
      </c>
      <c r="V85" t="b">
        <f t="shared" si="15"/>
        <v>1</v>
      </c>
      <c r="W85" t="b">
        <f t="shared" si="16"/>
        <v>1</v>
      </c>
      <c r="X85" t="b">
        <f t="shared" si="17"/>
        <v>1</v>
      </c>
      <c r="Y85" t="b">
        <f t="shared" si="18"/>
        <v>1</v>
      </c>
      <c r="Z85" t="b">
        <f t="shared" si="19"/>
        <v>0</v>
      </c>
      <c r="AA85" t="b">
        <f t="shared" si="20"/>
        <v>0</v>
      </c>
      <c r="AB85" t="b">
        <f t="shared" si="21"/>
        <v>0</v>
      </c>
      <c r="AC85" t="b">
        <f t="shared" si="22"/>
        <v>0</v>
      </c>
      <c r="AD85" t="b">
        <f t="shared" si="23"/>
        <v>0</v>
      </c>
      <c r="AE85" t="b">
        <f t="shared" si="24"/>
        <v>0</v>
      </c>
      <c r="AF85" t="b">
        <f t="shared" si="25"/>
        <v>0</v>
      </c>
      <c r="AG85" t="b">
        <f t="shared" si="26"/>
        <v>0</v>
      </c>
      <c r="AH85" t="b">
        <f t="shared" si="27"/>
        <v>0</v>
      </c>
    </row>
    <row r="86" spans="1:34" x14ac:dyDescent="0.2">
      <c r="A86" s="12" t="s">
        <v>140</v>
      </c>
      <c r="B86" s="12" t="s">
        <v>69</v>
      </c>
      <c r="C86" s="13" t="s">
        <v>69</v>
      </c>
      <c r="D86" s="18">
        <v>0</v>
      </c>
      <c r="E86" s="18">
        <v>0</v>
      </c>
      <c r="F86" s="18">
        <v>1</v>
      </c>
      <c r="G86" s="18">
        <v>2</v>
      </c>
      <c r="H86" s="18">
        <v>0</v>
      </c>
      <c r="I86" s="18">
        <v>1</v>
      </c>
      <c r="J86" s="19">
        <v>1</v>
      </c>
      <c r="K86" s="18">
        <v>0</v>
      </c>
      <c r="L86" s="18">
        <v>1</v>
      </c>
      <c r="M86" s="18">
        <v>1</v>
      </c>
      <c r="N86" s="18"/>
      <c r="O86" s="18">
        <v>2</v>
      </c>
      <c r="P86" s="18">
        <v>0</v>
      </c>
      <c r="Q86" s="17">
        <v>2</v>
      </c>
      <c r="R86">
        <v>5</v>
      </c>
      <c r="S86">
        <v>5</v>
      </c>
      <c r="T86">
        <v>1</v>
      </c>
      <c r="U86" s="14">
        <f t="shared" si="14"/>
        <v>13</v>
      </c>
      <c r="V86" t="b">
        <f t="shared" si="15"/>
        <v>1</v>
      </c>
      <c r="W86" t="b">
        <f t="shared" si="16"/>
        <v>1</v>
      </c>
      <c r="X86" t="b">
        <f t="shared" si="17"/>
        <v>0</v>
      </c>
      <c r="Y86" t="b">
        <f t="shared" si="18"/>
        <v>0</v>
      </c>
      <c r="Z86" t="b">
        <f t="shared" si="19"/>
        <v>0</v>
      </c>
      <c r="AA86" t="b">
        <f t="shared" si="20"/>
        <v>0</v>
      </c>
      <c r="AB86" t="b">
        <f t="shared" si="21"/>
        <v>0</v>
      </c>
      <c r="AC86" t="b">
        <f t="shared" si="22"/>
        <v>0</v>
      </c>
      <c r="AD86" t="b">
        <f t="shared" si="23"/>
        <v>0</v>
      </c>
      <c r="AE86" t="b">
        <f t="shared" si="24"/>
        <v>0</v>
      </c>
      <c r="AF86" t="b">
        <f t="shared" si="25"/>
        <v>0</v>
      </c>
      <c r="AG86" t="b">
        <f t="shared" si="26"/>
        <v>0</v>
      </c>
      <c r="AH86" t="b">
        <f t="shared" si="27"/>
        <v>0</v>
      </c>
    </row>
    <row r="87" spans="1:34" x14ac:dyDescent="0.2">
      <c r="A87" s="12" t="s">
        <v>125</v>
      </c>
      <c r="B87" s="12" t="s">
        <v>69</v>
      </c>
      <c r="C87" s="13" t="s">
        <v>69</v>
      </c>
      <c r="D87" s="18">
        <v>2</v>
      </c>
      <c r="E87" s="18">
        <v>0</v>
      </c>
      <c r="F87" s="18">
        <v>2</v>
      </c>
      <c r="G87" s="18">
        <v>2</v>
      </c>
      <c r="H87" s="18">
        <v>0</v>
      </c>
      <c r="I87" s="18">
        <v>1</v>
      </c>
      <c r="J87" s="19">
        <v>2</v>
      </c>
      <c r="K87" s="18">
        <v>1</v>
      </c>
      <c r="L87" s="18">
        <v>1</v>
      </c>
      <c r="M87" s="18">
        <v>2</v>
      </c>
      <c r="N87" s="18">
        <v>1</v>
      </c>
      <c r="O87" s="18">
        <v>2</v>
      </c>
      <c r="P87" s="18">
        <v>1</v>
      </c>
      <c r="Q87" s="17">
        <v>6</v>
      </c>
      <c r="R87">
        <v>5</v>
      </c>
      <c r="S87">
        <v>2</v>
      </c>
      <c r="T87">
        <v>0</v>
      </c>
      <c r="U87" s="14">
        <f t="shared" si="14"/>
        <v>13</v>
      </c>
      <c r="V87" t="b">
        <f t="shared" si="15"/>
        <v>1</v>
      </c>
      <c r="W87" t="b">
        <f t="shared" si="16"/>
        <v>1</v>
      </c>
      <c r="X87" t="b">
        <f t="shared" si="17"/>
        <v>1</v>
      </c>
      <c r="Y87" t="b">
        <f t="shared" si="18"/>
        <v>1</v>
      </c>
      <c r="Z87" t="b">
        <f t="shared" si="19"/>
        <v>1</v>
      </c>
      <c r="AA87" t="b">
        <f t="shared" si="20"/>
        <v>1</v>
      </c>
      <c r="AB87" t="b">
        <f t="shared" si="21"/>
        <v>0</v>
      </c>
      <c r="AC87" t="b">
        <f t="shared" si="22"/>
        <v>0</v>
      </c>
      <c r="AD87" t="b">
        <f t="shared" si="23"/>
        <v>0</v>
      </c>
      <c r="AE87" t="b">
        <f t="shared" si="24"/>
        <v>0</v>
      </c>
      <c r="AF87" t="b">
        <f t="shared" si="25"/>
        <v>0</v>
      </c>
      <c r="AG87" t="b">
        <f t="shared" si="26"/>
        <v>0</v>
      </c>
      <c r="AH87" t="b">
        <f t="shared" si="27"/>
        <v>0</v>
      </c>
    </row>
    <row r="88" spans="1:34" x14ac:dyDescent="0.2">
      <c r="A88" s="12" t="s">
        <v>147</v>
      </c>
      <c r="B88" s="12" t="s">
        <v>69</v>
      </c>
      <c r="C88" s="13" t="s">
        <v>69</v>
      </c>
      <c r="D88" s="18"/>
      <c r="E88" s="18">
        <v>1</v>
      </c>
      <c r="F88" s="18">
        <v>2</v>
      </c>
      <c r="G88" s="18">
        <v>0</v>
      </c>
      <c r="H88" s="18">
        <v>0</v>
      </c>
      <c r="I88" s="18">
        <v>0</v>
      </c>
      <c r="J88" s="19">
        <v>1</v>
      </c>
      <c r="K88" s="18">
        <v>0</v>
      </c>
      <c r="L88" s="18">
        <v>2</v>
      </c>
      <c r="M88" s="18">
        <v>0</v>
      </c>
      <c r="N88" s="18"/>
      <c r="O88" s="18"/>
      <c r="P88" s="18">
        <v>0</v>
      </c>
      <c r="Q88" s="17">
        <v>2</v>
      </c>
      <c r="R88">
        <v>2</v>
      </c>
      <c r="S88">
        <v>6</v>
      </c>
      <c r="T88">
        <v>3</v>
      </c>
      <c r="U88" s="14">
        <f t="shared" si="14"/>
        <v>13</v>
      </c>
      <c r="V88" t="b">
        <f t="shared" si="15"/>
        <v>1</v>
      </c>
      <c r="W88" t="b">
        <f t="shared" si="16"/>
        <v>1</v>
      </c>
      <c r="X88" t="b">
        <f t="shared" si="17"/>
        <v>0</v>
      </c>
      <c r="Y88" t="b">
        <f t="shared" si="18"/>
        <v>0</v>
      </c>
      <c r="Z88" t="b">
        <f t="shared" si="19"/>
        <v>0</v>
      </c>
      <c r="AA88" t="b">
        <f t="shared" si="20"/>
        <v>0</v>
      </c>
      <c r="AB88" t="b">
        <f t="shared" si="21"/>
        <v>0</v>
      </c>
      <c r="AC88" t="b">
        <f t="shared" si="22"/>
        <v>0</v>
      </c>
      <c r="AD88" t="b">
        <f t="shared" si="23"/>
        <v>0</v>
      </c>
      <c r="AE88" t="b">
        <f t="shared" si="24"/>
        <v>0</v>
      </c>
      <c r="AF88" t="b">
        <f t="shared" si="25"/>
        <v>0</v>
      </c>
      <c r="AG88" t="b">
        <f t="shared" si="26"/>
        <v>0</v>
      </c>
      <c r="AH88" t="b">
        <f t="shared" si="27"/>
        <v>0</v>
      </c>
    </row>
    <row r="89" spans="1:34" x14ac:dyDescent="0.2">
      <c r="A89" s="12" t="s">
        <v>148</v>
      </c>
      <c r="B89" s="12" t="s">
        <v>69</v>
      </c>
      <c r="C89" s="13" t="s">
        <v>69</v>
      </c>
      <c r="D89" s="18">
        <v>1</v>
      </c>
      <c r="E89" s="18">
        <v>2</v>
      </c>
      <c r="F89" s="18">
        <v>2</v>
      </c>
      <c r="G89" s="18">
        <v>2</v>
      </c>
      <c r="H89" s="18">
        <v>2</v>
      </c>
      <c r="I89" s="18">
        <v>0</v>
      </c>
      <c r="J89" s="19">
        <v>2</v>
      </c>
      <c r="K89" s="18">
        <v>2</v>
      </c>
      <c r="L89" s="18">
        <v>1</v>
      </c>
      <c r="M89" s="18">
        <v>2</v>
      </c>
      <c r="N89" s="18">
        <v>1</v>
      </c>
      <c r="O89" s="18">
        <v>2</v>
      </c>
      <c r="P89" s="18">
        <v>2</v>
      </c>
      <c r="Q89" s="17">
        <v>9</v>
      </c>
      <c r="R89">
        <v>3</v>
      </c>
      <c r="S89">
        <v>1</v>
      </c>
      <c r="T89">
        <v>0</v>
      </c>
      <c r="U89" s="14">
        <f t="shared" si="14"/>
        <v>13</v>
      </c>
      <c r="V89" t="b">
        <f t="shared" si="15"/>
        <v>1</v>
      </c>
      <c r="W89" t="b">
        <f t="shared" si="16"/>
        <v>1</v>
      </c>
      <c r="X89" t="b">
        <f t="shared" si="17"/>
        <v>1</v>
      </c>
      <c r="Y89" t="b">
        <f t="shared" si="18"/>
        <v>1</v>
      </c>
      <c r="Z89" t="b">
        <f t="shared" si="19"/>
        <v>1</v>
      </c>
      <c r="AA89" t="b">
        <f t="shared" si="20"/>
        <v>1</v>
      </c>
      <c r="AB89" t="b">
        <f t="shared" si="21"/>
        <v>1</v>
      </c>
      <c r="AC89" t="b">
        <f t="shared" si="22"/>
        <v>1</v>
      </c>
      <c r="AD89" t="b">
        <f t="shared" si="23"/>
        <v>1</v>
      </c>
      <c r="AE89" t="b">
        <f t="shared" si="24"/>
        <v>0</v>
      </c>
      <c r="AF89" t="b">
        <f t="shared" si="25"/>
        <v>0</v>
      </c>
      <c r="AG89" t="b">
        <f t="shared" si="26"/>
        <v>0</v>
      </c>
      <c r="AH89" t="b">
        <f t="shared" si="27"/>
        <v>0</v>
      </c>
    </row>
    <row r="90" spans="1:34" x14ac:dyDescent="0.2">
      <c r="A90" s="12" t="s">
        <v>149</v>
      </c>
      <c r="B90" s="12" t="s">
        <v>69</v>
      </c>
      <c r="C90" s="13" t="s">
        <v>69</v>
      </c>
      <c r="D90" s="18">
        <v>1</v>
      </c>
      <c r="E90" s="18">
        <v>2</v>
      </c>
      <c r="F90" s="18">
        <v>2</v>
      </c>
      <c r="G90" s="18">
        <v>1</v>
      </c>
      <c r="H90" s="18">
        <v>0</v>
      </c>
      <c r="I90" s="18">
        <v>2</v>
      </c>
      <c r="J90" s="19">
        <v>2</v>
      </c>
      <c r="K90" s="18">
        <v>0</v>
      </c>
      <c r="L90" s="18">
        <v>2</v>
      </c>
      <c r="M90" s="18">
        <v>1</v>
      </c>
      <c r="N90" s="18">
        <v>1</v>
      </c>
      <c r="O90" s="18">
        <v>2</v>
      </c>
      <c r="P90" s="18">
        <v>0</v>
      </c>
      <c r="Q90" s="17">
        <v>6</v>
      </c>
      <c r="R90">
        <v>4</v>
      </c>
      <c r="S90">
        <v>3</v>
      </c>
      <c r="T90">
        <v>0</v>
      </c>
      <c r="U90" s="14">
        <f t="shared" si="14"/>
        <v>13</v>
      </c>
      <c r="V90" t="b">
        <f t="shared" si="15"/>
        <v>1</v>
      </c>
      <c r="W90" t="b">
        <f t="shared" si="16"/>
        <v>1</v>
      </c>
      <c r="X90" t="b">
        <f t="shared" si="17"/>
        <v>1</v>
      </c>
      <c r="Y90" t="b">
        <f t="shared" si="18"/>
        <v>1</v>
      </c>
      <c r="Z90" t="b">
        <f t="shared" si="19"/>
        <v>1</v>
      </c>
      <c r="AA90" t="b">
        <f t="shared" si="20"/>
        <v>1</v>
      </c>
      <c r="AB90" t="b">
        <f t="shared" si="21"/>
        <v>0</v>
      </c>
      <c r="AC90" t="b">
        <f t="shared" si="22"/>
        <v>0</v>
      </c>
      <c r="AD90" t="b">
        <f t="shared" si="23"/>
        <v>0</v>
      </c>
      <c r="AE90" t="b">
        <f t="shared" si="24"/>
        <v>0</v>
      </c>
      <c r="AF90" t="b">
        <f t="shared" si="25"/>
        <v>0</v>
      </c>
      <c r="AG90" t="b">
        <f t="shared" si="26"/>
        <v>0</v>
      </c>
      <c r="AH90" t="b">
        <f t="shared" si="27"/>
        <v>0</v>
      </c>
    </row>
    <row r="91" spans="1:34" x14ac:dyDescent="0.2">
      <c r="A91" s="12" t="s">
        <v>150</v>
      </c>
      <c r="B91" s="12" t="s">
        <v>151</v>
      </c>
      <c r="C91" s="13" t="s">
        <v>151</v>
      </c>
      <c r="D91" s="18">
        <v>0</v>
      </c>
      <c r="E91" s="18">
        <v>1</v>
      </c>
      <c r="F91" s="18">
        <v>1</v>
      </c>
      <c r="G91" s="18">
        <v>1</v>
      </c>
      <c r="H91" s="18">
        <v>0</v>
      </c>
      <c r="I91" s="18">
        <v>1</v>
      </c>
      <c r="J91" s="19">
        <v>2</v>
      </c>
      <c r="K91" s="18">
        <v>0</v>
      </c>
      <c r="L91" s="18">
        <v>1</v>
      </c>
      <c r="M91" s="18">
        <v>1</v>
      </c>
      <c r="N91" s="18"/>
      <c r="O91" s="18">
        <v>0</v>
      </c>
      <c r="P91" s="18">
        <v>0</v>
      </c>
      <c r="Q91" s="17">
        <v>1</v>
      </c>
      <c r="R91">
        <v>6</v>
      </c>
      <c r="S91">
        <v>5</v>
      </c>
      <c r="T91">
        <v>1</v>
      </c>
      <c r="U91" s="14">
        <f t="shared" si="14"/>
        <v>13</v>
      </c>
      <c r="V91" t="b">
        <f t="shared" si="15"/>
        <v>1</v>
      </c>
      <c r="W91" t="b">
        <f t="shared" si="16"/>
        <v>0</v>
      </c>
      <c r="X91" t="b">
        <f t="shared" si="17"/>
        <v>0</v>
      </c>
      <c r="Y91" t="b">
        <f t="shared" si="18"/>
        <v>0</v>
      </c>
      <c r="Z91" t="b">
        <f t="shared" si="19"/>
        <v>0</v>
      </c>
      <c r="AA91" t="b">
        <f t="shared" si="20"/>
        <v>0</v>
      </c>
      <c r="AB91" t="b">
        <f t="shared" si="21"/>
        <v>0</v>
      </c>
      <c r="AC91" t="b">
        <f t="shared" si="22"/>
        <v>0</v>
      </c>
      <c r="AD91" t="b">
        <f t="shared" si="23"/>
        <v>0</v>
      </c>
      <c r="AE91" t="b">
        <f t="shared" si="24"/>
        <v>0</v>
      </c>
      <c r="AF91" t="b">
        <f t="shared" si="25"/>
        <v>0</v>
      </c>
      <c r="AG91" t="b">
        <f t="shared" si="26"/>
        <v>0</v>
      </c>
      <c r="AH91" t="b">
        <f t="shared" si="27"/>
        <v>0</v>
      </c>
    </row>
    <row r="92" spans="1:34" x14ac:dyDescent="0.2">
      <c r="A92" s="12" t="s">
        <v>152</v>
      </c>
      <c r="B92" s="12" t="s">
        <v>151</v>
      </c>
      <c r="C92" s="13" t="s">
        <v>151</v>
      </c>
      <c r="D92" s="18">
        <v>0</v>
      </c>
      <c r="E92" s="18">
        <v>1</v>
      </c>
      <c r="F92" s="18">
        <v>2</v>
      </c>
      <c r="G92" s="18">
        <v>1</v>
      </c>
      <c r="H92" s="18">
        <v>1</v>
      </c>
      <c r="I92" s="18">
        <v>1</v>
      </c>
      <c r="J92" s="19">
        <v>2</v>
      </c>
      <c r="K92" s="18">
        <v>1</v>
      </c>
      <c r="L92" s="18">
        <v>1</v>
      </c>
      <c r="M92" s="18">
        <v>1</v>
      </c>
      <c r="N92" s="18"/>
      <c r="O92" s="18">
        <v>2</v>
      </c>
      <c r="P92" s="18">
        <v>1</v>
      </c>
      <c r="Q92" s="17">
        <v>3</v>
      </c>
      <c r="R92">
        <v>8</v>
      </c>
      <c r="S92">
        <v>1</v>
      </c>
      <c r="T92">
        <v>1</v>
      </c>
      <c r="U92" s="14">
        <f t="shared" si="14"/>
        <v>13</v>
      </c>
      <c r="V92" t="b">
        <f t="shared" si="15"/>
        <v>1</v>
      </c>
      <c r="W92" t="b">
        <f t="shared" si="16"/>
        <v>1</v>
      </c>
      <c r="X92" t="b">
        <f t="shared" si="17"/>
        <v>1</v>
      </c>
      <c r="Y92" t="b">
        <f t="shared" si="18"/>
        <v>0</v>
      </c>
      <c r="Z92" t="b">
        <f t="shared" si="19"/>
        <v>0</v>
      </c>
      <c r="AA92" t="b">
        <f t="shared" si="20"/>
        <v>0</v>
      </c>
      <c r="AB92" t="b">
        <f t="shared" si="21"/>
        <v>0</v>
      </c>
      <c r="AC92" t="b">
        <f t="shared" si="22"/>
        <v>0</v>
      </c>
      <c r="AD92" t="b">
        <f t="shared" si="23"/>
        <v>0</v>
      </c>
      <c r="AE92" t="b">
        <f t="shared" si="24"/>
        <v>0</v>
      </c>
      <c r="AF92" t="b">
        <f t="shared" si="25"/>
        <v>0</v>
      </c>
      <c r="AG92" t="b">
        <f t="shared" si="26"/>
        <v>0</v>
      </c>
      <c r="AH92" t="b">
        <f t="shared" si="27"/>
        <v>0</v>
      </c>
    </row>
    <row r="93" spans="1:34" x14ac:dyDescent="0.2">
      <c r="A93" s="12" t="s">
        <v>153</v>
      </c>
      <c r="B93" s="12" t="s">
        <v>154</v>
      </c>
      <c r="C93" s="13" t="s">
        <v>154</v>
      </c>
      <c r="D93" s="18">
        <v>1</v>
      </c>
      <c r="E93" s="18">
        <v>0</v>
      </c>
      <c r="F93" s="18">
        <v>2</v>
      </c>
      <c r="G93" s="18">
        <v>2</v>
      </c>
      <c r="H93" s="18">
        <v>2</v>
      </c>
      <c r="I93" s="18">
        <v>2</v>
      </c>
      <c r="J93" s="19">
        <v>2</v>
      </c>
      <c r="K93" s="18">
        <v>2</v>
      </c>
      <c r="L93" s="18">
        <v>1</v>
      </c>
      <c r="M93" s="18">
        <v>2</v>
      </c>
      <c r="N93" s="18">
        <v>1</v>
      </c>
      <c r="O93" s="18">
        <v>2</v>
      </c>
      <c r="P93" s="18">
        <v>1</v>
      </c>
      <c r="Q93" s="17">
        <v>8</v>
      </c>
      <c r="R93">
        <v>4</v>
      </c>
      <c r="S93">
        <v>1</v>
      </c>
      <c r="T93">
        <v>0</v>
      </c>
      <c r="U93" s="14">
        <f t="shared" si="14"/>
        <v>13</v>
      </c>
      <c r="V93" t="b">
        <f t="shared" si="15"/>
        <v>1</v>
      </c>
      <c r="W93" t="b">
        <f t="shared" si="16"/>
        <v>1</v>
      </c>
      <c r="X93" t="b">
        <f t="shared" si="17"/>
        <v>1</v>
      </c>
      <c r="Y93" t="b">
        <f t="shared" si="18"/>
        <v>1</v>
      </c>
      <c r="Z93" t="b">
        <f t="shared" si="19"/>
        <v>1</v>
      </c>
      <c r="AA93" t="b">
        <f t="shared" si="20"/>
        <v>1</v>
      </c>
      <c r="AB93" t="b">
        <f t="shared" si="21"/>
        <v>1</v>
      </c>
      <c r="AC93" t="b">
        <f t="shared" si="22"/>
        <v>1</v>
      </c>
      <c r="AD93" t="b">
        <f t="shared" si="23"/>
        <v>0</v>
      </c>
      <c r="AE93" t="b">
        <f t="shared" si="24"/>
        <v>0</v>
      </c>
      <c r="AF93" t="b">
        <f t="shared" si="25"/>
        <v>0</v>
      </c>
      <c r="AG93" t="b">
        <f t="shared" si="26"/>
        <v>0</v>
      </c>
      <c r="AH93" t="b">
        <f t="shared" si="27"/>
        <v>0</v>
      </c>
    </row>
    <row r="94" spans="1:34" x14ac:dyDescent="0.2">
      <c r="A94" s="12" t="s">
        <v>155</v>
      </c>
      <c r="B94" s="12" t="s">
        <v>154</v>
      </c>
      <c r="C94" s="13" t="s">
        <v>154</v>
      </c>
      <c r="D94" s="18">
        <v>2</v>
      </c>
      <c r="E94" s="18">
        <v>0</v>
      </c>
      <c r="F94" s="18">
        <v>2</v>
      </c>
      <c r="G94" s="18">
        <v>2</v>
      </c>
      <c r="H94" s="18">
        <v>2</v>
      </c>
      <c r="I94" s="18">
        <v>1</v>
      </c>
      <c r="J94" s="19">
        <v>2</v>
      </c>
      <c r="K94" s="18">
        <v>2</v>
      </c>
      <c r="L94" s="18">
        <v>1</v>
      </c>
      <c r="M94" s="18">
        <v>2</v>
      </c>
      <c r="N94" s="18">
        <v>2</v>
      </c>
      <c r="O94" s="18">
        <v>2</v>
      </c>
      <c r="P94" s="18">
        <v>2</v>
      </c>
      <c r="Q94" s="17">
        <v>10</v>
      </c>
      <c r="R94">
        <v>2</v>
      </c>
      <c r="S94">
        <v>1</v>
      </c>
      <c r="T94">
        <v>0</v>
      </c>
      <c r="U94" s="14">
        <f t="shared" si="14"/>
        <v>13</v>
      </c>
      <c r="V94" t="b">
        <f t="shared" si="15"/>
        <v>1</v>
      </c>
      <c r="W94" t="b">
        <f t="shared" si="16"/>
        <v>1</v>
      </c>
      <c r="X94" t="b">
        <f t="shared" si="17"/>
        <v>1</v>
      </c>
      <c r="Y94" t="b">
        <f t="shared" si="18"/>
        <v>1</v>
      </c>
      <c r="Z94" t="b">
        <f t="shared" si="19"/>
        <v>1</v>
      </c>
      <c r="AA94" t="b">
        <f t="shared" si="20"/>
        <v>1</v>
      </c>
      <c r="AB94" t="b">
        <f t="shared" si="21"/>
        <v>1</v>
      </c>
      <c r="AC94" t="b">
        <f t="shared" si="22"/>
        <v>1</v>
      </c>
      <c r="AD94" t="b">
        <f t="shared" si="23"/>
        <v>1</v>
      </c>
      <c r="AE94" t="b">
        <f t="shared" si="24"/>
        <v>1</v>
      </c>
      <c r="AF94" t="b">
        <f t="shared" si="25"/>
        <v>0</v>
      </c>
      <c r="AG94" t="b">
        <f t="shared" si="26"/>
        <v>0</v>
      </c>
      <c r="AH94" t="b">
        <f t="shared" si="27"/>
        <v>0</v>
      </c>
    </row>
    <row r="95" spans="1:34" x14ac:dyDescent="0.2">
      <c r="A95" s="12" t="s">
        <v>156</v>
      </c>
      <c r="B95" s="12" t="s">
        <v>154</v>
      </c>
      <c r="C95" s="13" t="s">
        <v>154</v>
      </c>
      <c r="D95" s="18">
        <v>1</v>
      </c>
      <c r="E95" s="18">
        <v>1</v>
      </c>
      <c r="F95" s="18">
        <v>2</v>
      </c>
      <c r="G95" s="18">
        <v>2</v>
      </c>
      <c r="H95" s="18">
        <v>0</v>
      </c>
      <c r="I95" s="18">
        <v>2</v>
      </c>
      <c r="J95" s="19">
        <v>1</v>
      </c>
      <c r="K95" s="18">
        <v>2</v>
      </c>
      <c r="L95" s="18">
        <v>1</v>
      </c>
      <c r="M95" s="18">
        <v>1</v>
      </c>
      <c r="N95" s="18"/>
      <c r="O95" s="18">
        <v>2</v>
      </c>
      <c r="P95" s="18">
        <v>1</v>
      </c>
      <c r="Q95" s="17">
        <v>5</v>
      </c>
      <c r="R95">
        <v>6</v>
      </c>
      <c r="S95">
        <v>1</v>
      </c>
      <c r="T95">
        <v>1</v>
      </c>
      <c r="U95" s="14">
        <f t="shared" si="14"/>
        <v>13</v>
      </c>
      <c r="V95" t="b">
        <f t="shared" si="15"/>
        <v>1</v>
      </c>
      <c r="W95" t="b">
        <f t="shared" si="16"/>
        <v>1</v>
      </c>
      <c r="X95" t="b">
        <f t="shared" si="17"/>
        <v>1</v>
      </c>
      <c r="Y95" t="b">
        <f t="shared" si="18"/>
        <v>1</v>
      </c>
      <c r="Z95" t="b">
        <f t="shared" si="19"/>
        <v>1</v>
      </c>
      <c r="AA95" t="b">
        <f t="shared" si="20"/>
        <v>0</v>
      </c>
      <c r="AB95" t="b">
        <f t="shared" si="21"/>
        <v>0</v>
      </c>
      <c r="AC95" t="b">
        <f t="shared" si="22"/>
        <v>0</v>
      </c>
      <c r="AD95" t="b">
        <f t="shared" si="23"/>
        <v>0</v>
      </c>
      <c r="AE95" t="b">
        <f t="shared" si="24"/>
        <v>0</v>
      </c>
      <c r="AF95" t="b">
        <f t="shared" si="25"/>
        <v>0</v>
      </c>
      <c r="AG95" t="b">
        <f t="shared" si="26"/>
        <v>0</v>
      </c>
      <c r="AH95" t="b">
        <f t="shared" si="27"/>
        <v>0</v>
      </c>
    </row>
    <row r="96" spans="1:34" x14ac:dyDescent="0.2">
      <c r="A96" s="12" t="s">
        <v>157</v>
      </c>
      <c r="B96" s="12" t="s">
        <v>154</v>
      </c>
      <c r="C96" s="13" t="s">
        <v>154</v>
      </c>
      <c r="D96" s="18">
        <v>1</v>
      </c>
      <c r="E96" s="18">
        <v>1</v>
      </c>
      <c r="F96" s="18">
        <v>2</v>
      </c>
      <c r="G96" s="18">
        <v>1</v>
      </c>
      <c r="H96" s="18">
        <v>0</v>
      </c>
      <c r="I96" s="18">
        <v>0</v>
      </c>
      <c r="J96" s="19">
        <v>0</v>
      </c>
      <c r="K96" s="18">
        <v>1</v>
      </c>
      <c r="L96" s="18"/>
      <c r="M96" s="18">
        <v>1</v>
      </c>
      <c r="N96" s="18"/>
      <c r="O96" s="18">
        <v>2</v>
      </c>
      <c r="P96" s="18">
        <v>0</v>
      </c>
      <c r="Q96" s="17">
        <v>2</v>
      </c>
      <c r="R96">
        <v>5</v>
      </c>
      <c r="S96">
        <v>4</v>
      </c>
      <c r="T96">
        <v>2</v>
      </c>
      <c r="U96" s="14">
        <f t="shared" si="14"/>
        <v>13</v>
      </c>
      <c r="V96" t="b">
        <f t="shared" si="15"/>
        <v>1</v>
      </c>
      <c r="W96" t="b">
        <f t="shared" si="16"/>
        <v>1</v>
      </c>
      <c r="X96" t="b">
        <f t="shared" si="17"/>
        <v>0</v>
      </c>
      <c r="Y96" t="b">
        <f t="shared" si="18"/>
        <v>0</v>
      </c>
      <c r="Z96" t="b">
        <f t="shared" si="19"/>
        <v>0</v>
      </c>
      <c r="AA96" t="b">
        <f t="shared" si="20"/>
        <v>0</v>
      </c>
      <c r="AB96" t="b">
        <f t="shared" si="21"/>
        <v>0</v>
      </c>
      <c r="AC96" t="b">
        <f t="shared" si="22"/>
        <v>0</v>
      </c>
      <c r="AD96" t="b">
        <f t="shared" si="23"/>
        <v>0</v>
      </c>
      <c r="AE96" t="b">
        <f t="shared" si="24"/>
        <v>0</v>
      </c>
      <c r="AF96" t="b">
        <f t="shared" si="25"/>
        <v>0</v>
      </c>
      <c r="AG96" t="b">
        <f t="shared" si="26"/>
        <v>0</v>
      </c>
      <c r="AH96" t="b">
        <f t="shared" si="27"/>
        <v>0</v>
      </c>
    </row>
    <row r="97" spans="1:34" x14ac:dyDescent="0.2">
      <c r="A97" s="12" t="s">
        <v>158</v>
      </c>
      <c r="B97" s="12" t="s">
        <v>154</v>
      </c>
      <c r="C97" s="13" t="s">
        <v>154</v>
      </c>
      <c r="D97" s="18">
        <v>1</v>
      </c>
      <c r="E97" s="18">
        <v>0</v>
      </c>
      <c r="F97" s="18">
        <v>1</v>
      </c>
      <c r="G97" s="18">
        <v>2</v>
      </c>
      <c r="H97" s="18">
        <v>1</v>
      </c>
      <c r="I97" s="18">
        <v>2</v>
      </c>
      <c r="J97" s="19">
        <v>1</v>
      </c>
      <c r="K97" s="18">
        <v>0</v>
      </c>
      <c r="L97" s="18">
        <v>2</v>
      </c>
      <c r="M97" s="18">
        <v>1</v>
      </c>
      <c r="N97" s="18">
        <v>0</v>
      </c>
      <c r="O97" s="18">
        <v>2</v>
      </c>
      <c r="P97" s="18">
        <v>0</v>
      </c>
      <c r="Q97" s="17">
        <v>4</v>
      </c>
      <c r="R97">
        <v>5</v>
      </c>
      <c r="S97">
        <v>4</v>
      </c>
      <c r="T97">
        <v>0</v>
      </c>
      <c r="U97" s="14">
        <f t="shared" si="14"/>
        <v>13</v>
      </c>
      <c r="V97" t="b">
        <f t="shared" si="15"/>
        <v>1</v>
      </c>
      <c r="W97" t="b">
        <f t="shared" si="16"/>
        <v>1</v>
      </c>
      <c r="X97" t="b">
        <f t="shared" si="17"/>
        <v>1</v>
      </c>
      <c r="Y97" t="b">
        <f t="shared" si="18"/>
        <v>1</v>
      </c>
      <c r="Z97" t="b">
        <f t="shared" si="19"/>
        <v>0</v>
      </c>
      <c r="AA97" t="b">
        <f t="shared" si="20"/>
        <v>0</v>
      </c>
      <c r="AB97" t="b">
        <f t="shared" si="21"/>
        <v>0</v>
      </c>
      <c r="AC97" t="b">
        <f t="shared" si="22"/>
        <v>0</v>
      </c>
      <c r="AD97" t="b">
        <f t="shared" si="23"/>
        <v>0</v>
      </c>
      <c r="AE97" t="b">
        <f t="shared" si="24"/>
        <v>0</v>
      </c>
      <c r="AF97" t="b">
        <f t="shared" si="25"/>
        <v>0</v>
      </c>
      <c r="AG97" t="b">
        <f t="shared" si="26"/>
        <v>0</v>
      </c>
      <c r="AH97" t="b">
        <f t="shared" si="27"/>
        <v>0</v>
      </c>
    </row>
    <row r="98" spans="1:34" x14ac:dyDescent="0.2">
      <c r="A98" s="12" t="s">
        <v>159</v>
      </c>
      <c r="B98" s="12" t="s">
        <v>160</v>
      </c>
      <c r="C98" s="13" t="s">
        <v>160</v>
      </c>
      <c r="D98" s="18"/>
      <c r="E98" s="18">
        <v>0</v>
      </c>
      <c r="F98" s="18">
        <v>1</v>
      </c>
      <c r="G98" s="18">
        <v>0</v>
      </c>
      <c r="H98" s="18">
        <v>2</v>
      </c>
      <c r="I98" s="18">
        <v>0</v>
      </c>
      <c r="J98" s="19">
        <v>1</v>
      </c>
      <c r="K98" s="18">
        <v>1</v>
      </c>
      <c r="L98" s="18"/>
      <c r="M98" s="18">
        <v>0</v>
      </c>
      <c r="N98" s="18"/>
      <c r="O98" s="18">
        <v>2</v>
      </c>
      <c r="P98" s="18">
        <v>0</v>
      </c>
      <c r="Q98" s="17">
        <v>2</v>
      </c>
      <c r="R98">
        <v>3</v>
      </c>
      <c r="S98">
        <v>5</v>
      </c>
      <c r="T98">
        <v>3</v>
      </c>
      <c r="U98" s="14">
        <f t="shared" si="14"/>
        <v>13</v>
      </c>
      <c r="V98" t="b">
        <f t="shared" si="15"/>
        <v>1</v>
      </c>
      <c r="W98" t="b">
        <f t="shared" si="16"/>
        <v>1</v>
      </c>
      <c r="X98" t="b">
        <f t="shared" si="17"/>
        <v>0</v>
      </c>
      <c r="Y98" t="b">
        <f t="shared" si="18"/>
        <v>0</v>
      </c>
      <c r="Z98" t="b">
        <f t="shared" si="19"/>
        <v>0</v>
      </c>
      <c r="AA98" t="b">
        <f t="shared" si="20"/>
        <v>0</v>
      </c>
      <c r="AB98" t="b">
        <f t="shared" si="21"/>
        <v>0</v>
      </c>
      <c r="AC98" t="b">
        <f t="shared" si="22"/>
        <v>0</v>
      </c>
      <c r="AD98" t="b">
        <f t="shared" si="23"/>
        <v>0</v>
      </c>
      <c r="AE98" t="b">
        <f t="shared" si="24"/>
        <v>0</v>
      </c>
      <c r="AF98" t="b">
        <f t="shared" si="25"/>
        <v>0</v>
      </c>
      <c r="AG98" t="b">
        <f t="shared" si="26"/>
        <v>0</v>
      </c>
      <c r="AH98" t="b">
        <f t="shared" si="27"/>
        <v>0</v>
      </c>
    </row>
    <row r="99" spans="1:34" x14ac:dyDescent="0.2">
      <c r="A99" s="12" t="s">
        <v>161</v>
      </c>
      <c r="B99" s="12" t="s">
        <v>160</v>
      </c>
      <c r="C99" s="13" t="s">
        <v>160</v>
      </c>
      <c r="D99" s="18">
        <v>0</v>
      </c>
      <c r="E99" s="18">
        <v>0</v>
      </c>
      <c r="F99" s="18">
        <v>2</v>
      </c>
      <c r="G99" s="18">
        <v>2</v>
      </c>
      <c r="H99" s="18">
        <v>0</v>
      </c>
      <c r="I99" s="18">
        <v>1</v>
      </c>
      <c r="J99" s="19">
        <v>1</v>
      </c>
      <c r="K99" s="18">
        <v>2</v>
      </c>
      <c r="L99" s="18">
        <v>1</v>
      </c>
      <c r="M99" s="18">
        <v>1</v>
      </c>
      <c r="N99" s="18">
        <v>1</v>
      </c>
      <c r="O99" s="18">
        <v>2</v>
      </c>
      <c r="P99" s="18">
        <v>0</v>
      </c>
      <c r="Q99" s="17">
        <v>4</v>
      </c>
      <c r="R99">
        <v>5</v>
      </c>
      <c r="S99">
        <v>4</v>
      </c>
      <c r="T99">
        <v>0</v>
      </c>
      <c r="U99" s="14">
        <f t="shared" si="14"/>
        <v>13</v>
      </c>
      <c r="V99" t="b">
        <f t="shared" si="15"/>
        <v>1</v>
      </c>
      <c r="W99" t="b">
        <f t="shared" si="16"/>
        <v>1</v>
      </c>
      <c r="X99" t="b">
        <f t="shared" si="17"/>
        <v>1</v>
      </c>
      <c r="Y99" t="b">
        <f t="shared" si="18"/>
        <v>1</v>
      </c>
      <c r="Z99" t="b">
        <f t="shared" si="19"/>
        <v>0</v>
      </c>
      <c r="AA99" t="b">
        <f t="shared" si="20"/>
        <v>0</v>
      </c>
      <c r="AB99" t="b">
        <f t="shared" si="21"/>
        <v>0</v>
      </c>
      <c r="AC99" t="b">
        <f t="shared" si="22"/>
        <v>0</v>
      </c>
      <c r="AD99" t="b">
        <f t="shared" si="23"/>
        <v>0</v>
      </c>
      <c r="AE99" t="b">
        <f t="shared" si="24"/>
        <v>0</v>
      </c>
      <c r="AF99" t="b">
        <f t="shared" si="25"/>
        <v>0</v>
      </c>
      <c r="AG99" t="b">
        <f t="shared" si="26"/>
        <v>0</v>
      </c>
      <c r="AH99" t="b">
        <f t="shared" si="27"/>
        <v>0</v>
      </c>
    </row>
    <row r="100" spans="1:34" x14ac:dyDescent="0.2">
      <c r="A100" s="12" t="s">
        <v>46</v>
      </c>
      <c r="B100" s="12" t="s">
        <v>160</v>
      </c>
      <c r="C100" s="13" t="s">
        <v>160</v>
      </c>
      <c r="D100" s="18">
        <v>0</v>
      </c>
      <c r="E100" s="18">
        <v>1</v>
      </c>
      <c r="F100" s="18">
        <v>2</v>
      </c>
      <c r="G100" s="18">
        <v>0</v>
      </c>
      <c r="H100" s="18">
        <v>0</v>
      </c>
      <c r="I100" s="18">
        <v>0</v>
      </c>
      <c r="J100" s="19">
        <v>0</v>
      </c>
      <c r="K100" s="18">
        <v>0</v>
      </c>
      <c r="L100" s="18">
        <v>1</v>
      </c>
      <c r="M100" s="18">
        <v>1</v>
      </c>
      <c r="N100" s="18"/>
      <c r="O100" s="18">
        <v>2</v>
      </c>
      <c r="P100" s="18">
        <v>0</v>
      </c>
      <c r="Q100" s="17">
        <v>2</v>
      </c>
      <c r="R100">
        <v>3</v>
      </c>
      <c r="S100">
        <v>7</v>
      </c>
      <c r="T100">
        <v>1</v>
      </c>
      <c r="U100" s="14">
        <f t="shared" si="14"/>
        <v>13</v>
      </c>
      <c r="V100" t="b">
        <f t="shared" si="15"/>
        <v>1</v>
      </c>
      <c r="W100" t="b">
        <f t="shared" si="16"/>
        <v>1</v>
      </c>
      <c r="X100" t="b">
        <f t="shared" si="17"/>
        <v>0</v>
      </c>
      <c r="Y100" t="b">
        <f t="shared" si="18"/>
        <v>0</v>
      </c>
      <c r="Z100" t="b">
        <f t="shared" si="19"/>
        <v>0</v>
      </c>
      <c r="AA100" t="b">
        <f t="shared" si="20"/>
        <v>0</v>
      </c>
      <c r="AB100" t="b">
        <f t="shared" si="21"/>
        <v>0</v>
      </c>
      <c r="AC100" t="b">
        <f t="shared" si="22"/>
        <v>0</v>
      </c>
      <c r="AD100" t="b">
        <f t="shared" si="23"/>
        <v>0</v>
      </c>
      <c r="AE100" t="b">
        <f t="shared" si="24"/>
        <v>0</v>
      </c>
      <c r="AF100" t="b">
        <f t="shared" si="25"/>
        <v>0</v>
      </c>
      <c r="AG100" t="b">
        <f t="shared" si="26"/>
        <v>0</v>
      </c>
      <c r="AH100" t="b">
        <f t="shared" si="27"/>
        <v>0</v>
      </c>
    </row>
    <row r="101" spans="1:34" x14ac:dyDescent="0.2">
      <c r="A101" s="12" t="s">
        <v>162</v>
      </c>
      <c r="B101" s="12" t="s">
        <v>163</v>
      </c>
      <c r="C101" s="13" t="s">
        <v>116</v>
      </c>
      <c r="D101" s="18">
        <v>1</v>
      </c>
      <c r="E101" s="18">
        <v>2</v>
      </c>
      <c r="F101" s="18">
        <v>1</v>
      </c>
      <c r="G101" s="18">
        <v>0</v>
      </c>
      <c r="H101" s="18">
        <v>0</v>
      </c>
      <c r="I101" s="18">
        <v>0</v>
      </c>
      <c r="J101" s="19">
        <v>1</v>
      </c>
      <c r="K101" s="18">
        <v>2</v>
      </c>
      <c r="L101" s="18">
        <v>0</v>
      </c>
      <c r="M101" s="18">
        <v>1</v>
      </c>
      <c r="N101" s="18">
        <v>1</v>
      </c>
      <c r="O101" s="18">
        <v>2</v>
      </c>
      <c r="P101" s="18">
        <v>0</v>
      </c>
      <c r="Q101" s="17">
        <v>3</v>
      </c>
      <c r="R101">
        <v>5</v>
      </c>
      <c r="S101">
        <v>5</v>
      </c>
      <c r="T101">
        <v>0</v>
      </c>
      <c r="U101" s="14">
        <f t="shared" si="14"/>
        <v>13</v>
      </c>
      <c r="V101" t="b">
        <f t="shared" si="15"/>
        <v>1</v>
      </c>
      <c r="W101" t="b">
        <f t="shared" si="16"/>
        <v>1</v>
      </c>
      <c r="X101" t="b">
        <f t="shared" si="17"/>
        <v>1</v>
      </c>
      <c r="Y101" t="b">
        <f t="shared" si="18"/>
        <v>0</v>
      </c>
      <c r="Z101" t="b">
        <f t="shared" si="19"/>
        <v>0</v>
      </c>
      <c r="AA101" t="b">
        <f t="shared" si="20"/>
        <v>0</v>
      </c>
      <c r="AB101" t="b">
        <f t="shared" si="21"/>
        <v>0</v>
      </c>
      <c r="AC101" t="b">
        <f t="shared" si="22"/>
        <v>0</v>
      </c>
      <c r="AD101" t="b">
        <f t="shared" si="23"/>
        <v>0</v>
      </c>
      <c r="AE101" t="b">
        <f t="shared" si="24"/>
        <v>0</v>
      </c>
      <c r="AF101" t="b">
        <f t="shared" si="25"/>
        <v>0</v>
      </c>
      <c r="AG101" t="b">
        <f t="shared" si="26"/>
        <v>0</v>
      </c>
      <c r="AH101" t="b">
        <f t="shared" si="27"/>
        <v>0</v>
      </c>
    </row>
    <row r="102" spans="1:34" x14ac:dyDescent="0.2">
      <c r="A102" s="12" t="s">
        <v>164</v>
      </c>
      <c r="B102" s="12" t="s">
        <v>163</v>
      </c>
      <c r="C102" s="13" t="s">
        <v>116</v>
      </c>
      <c r="D102" s="18">
        <v>0</v>
      </c>
      <c r="E102" s="18">
        <v>2</v>
      </c>
      <c r="F102" s="18">
        <v>2</v>
      </c>
      <c r="G102" s="18">
        <v>2</v>
      </c>
      <c r="H102" s="18">
        <v>2</v>
      </c>
      <c r="I102" s="18">
        <v>0</v>
      </c>
      <c r="J102" s="19">
        <v>0</v>
      </c>
      <c r="K102" s="18">
        <v>2</v>
      </c>
      <c r="L102" s="18">
        <v>0</v>
      </c>
      <c r="M102" s="18">
        <v>0</v>
      </c>
      <c r="N102" s="18">
        <v>0</v>
      </c>
      <c r="O102" s="18">
        <v>2</v>
      </c>
      <c r="P102" s="18">
        <v>0</v>
      </c>
      <c r="Q102" s="17">
        <v>6</v>
      </c>
      <c r="R102">
        <v>0</v>
      </c>
      <c r="S102">
        <v>7</v>
      </c>
      <c r="T102">
        <v>0</v>
      </c>
      <c r="U102" s="14">
        <f t="shared" si="14"/>
        <v>13</v>
      </c>
      <c r="V102" t="b">
        <f t="shared" si="15"/>
        <v>1</v>
      </c>
      <c r="W102" t="b">
        <f t="shared" si="16"/>
        <v>1</v>
      </c>
      <c r="X102" t="b">
        <f t="shared" si="17"/>
        <v>1</v>
      </c>
      <c r="Y102" t="b">
        <f t="shared" si="18"/>
        <v>1</v>
      </c>
      <c r="Z102" t="b">
        <f t="shared" si="19"/>
        <v>1</v>
      </c>
      <c r="AA102" t="b">
        <f t="shared" si="20"/>
        <v>1</v>
      </c>
      <c r="AB102" t="b">
        <f t="shared" si="21"/>
        <v>0</v>
      </c>
      <c r="AC102" t="b">
        <f t="shared" si="22"/>
        <v>0</v>
      </c>
      <c r="AD102" t="b">
        <f t="shared" si="23"/>
        <v>0</v>
      </c>
      <c r="AE102" t="b">
        <f t="shared" si="24"/>
        <v>0</v>
      </c>
      <c r="AF102" t="b">
        <f t="shared" si="25"/>
        <v>0</v>
      </c>
      <c r="AG102" t="b">
        <f t="shared" si="26"/>
        <v>0</v>
      </c>
      <c r="AH102" t="b">
        <f t="shared" si="27"/>
        <v>0</v>
      </c>
    </row>
    <row r="103" spans="1:34" x14ac:dyDescent="0.2">
      <c r="A103" s="12" t="s">
        <v>165</v>
      </c>
      <c r="B103" s="12" t="s">
        <v>163</v>
      </c>
      <c r="C103" s="13" t="s">
        <v>116</v>
      </c>
      <c r="D103" s="18">
        <v>0</v>
      </c>
      <c r="E103" s="18">
        <v>2</v>
      </c>
      <c r="F103" s="18">
        <v>1</v>
      </c>
      <c r="G103" s="18">
        <v>0</v>
      </c>
      <c r="H103" s="18">
        <v>0</v>
      </c>
      <c r="I103" s="18">
        <v>1</v>
      </c>
      <c r="J103" s="19">
        <v>1</v>
      </c>
      <c r="K103" s="18">
        <v>2</v>
      </c>
      <c r="L103" s="18">
        <v>2</v>
      </c>
      <c r="M103" s="18">
        <v>1</v>
      </c>
      <c r="N103" s="18">
        <v>0</v>
      </c>
      <c r="O103" s="18">
        <v>2</v>
      </c>
      <c r="P103" s="18">
        <v>0</v>
      </c>
      <c r="Q103" s="17">
        <v>4</v>
      </c>
      <c r="R103">
        <v>4</v>
      </c>
      <c r="S103">
        <v>5</v>
      </c>
      <c r="T103">
        <v>0</v>
      </c>
      <c r="U103" s="14">
        <f t="shared" si="14"/>
        <v>13</v>
      </c>
      <c r="V103" t="b">
        <f t="shared" si="15"/>
        <v>1</v>
      </c>
      <c r="W103" t="b">
        <f t="shared" si="16"/>
        <v>1</v>
      </c>
      <c r="X103" t="b">
        <f t="shared" si="17"/>
        <v>1</v>
      </c>
      <c r="Y103" t="b">
        <f t="shared" si="18"/>
        <v>1</v>
      </c>
      <c r="Z103" t="b">
        <f t="shared" si="19"/>
        <v>0</v>
      </c>
      <c r="AA103" t="b">
        <f t="shared" si="20"/>
        <v>0</v>
      </c>
      <c r="AB103" t="b">
        <f t="shared" si="21"/>
        <v>0</v>
      </c>
      <c r="AC103" t="b">
        <f t="shared" si="22"/>
        <v>0</v>
      </c>
      <c r="AD103" t="b">
        <f t="shared" si="23"/>
        <v>0</v>
      </c>
      <c r="AE103" t="b">
        <f t="shared" si="24"/>
        <v>0</v>
      </c>
      <c r="AF103" t="b">
        <f t="shared" si="25"/>
        <v>0</v>
      </c>
      <c r="AG103" t="b">
        <f t="shared" si="26"/>
        <v>0</v>
      </c>
      <c r="AH103" t="b">
        <f t="shared" si="27"/>
        <v>0</v>
      </c>
    </row>
    <row r="104" spans="1:34" x14ac:dyDescent="0.2">
      <c r="A104" s="12" t="s">
        <v>166</v>
      </c>
      <c r="B104" s="12" t="s">
        <v>167</v>
      </c>
      <c r="C104" s="13" t="s">
        <v>168</v>
      </c>
      <c r="D104" s="18">
        <v>1</v>
      </c>
      <c r="E104" s="18">
        <v>0</v>
      </c>
      <c r="F104" s="18">
        <v>2</v>
      </c>
      <c r="G104" s="18">
        <v>2</v>
      </c>
      <c r="H104" s="18">
        <v>2</v>
      </c>
      <c r="I104" s="18">
        <v>1</v>
      </c>
      <c r="J104" s="19">
        <v>2</v>
      </c>
      <c r="K104" s="18">
        <v>2</v>
      </c>
      <c r="L104" s="18">
        <v>1</v>
      </c>
      <c r="M104" s="18">
        <v>2</v>
      </c>
      <c r="N104" s="18">
        <v>2</v>
      </c>
      <c r="O104" s="18">
        <v>2</v>
      </c>
      <c r="P104" s="18">
        <v>2</v>
      </c>
      <c r="Q104" s="17">
        <v>9</v>
      </c>
      <c r="R104">
        <v>3</v>
      </c>
      <c r="S104">
        <v>1</v>
      </c>
      <c r="T104">
        <v>0</v>
      </c>
      <c r="U104" s="14">
        <f t="shared" si="14"/>
        <v>13</v>
      </c>
      <c r="V104" t="b">
        <f t="shared" si="15"/>
        <v>1</v>
      </c>
      <c r="W104" t="b">
        <f t="shared" si="16"/>
        <v>1</v>
      </c>
      <c r="X104" t="b">
        <f t="shared" si="17"/>
        <v>1</v>
      </c>
      <c r="Y104" t="b">
        <f t="shared" si="18"/>
        <v>1</v>
      </c>
      <c r="Z104" t="b">
        <f t="shared" si="19"/>
        <v>1</v>
      </c>
      <c r="AA104" t="b">
        <f t="shared" si="20"/>
        <v>1</v>
      </c>
      <c r="AB104" t="b">
        <f t="shared" si="21"/>
        <v>1</v>
      </c>
      <c r="AC104" t="b">
        <f t="shared" si="22"/>
        <v>1</v>
      </c>
      <c r="AD104" t="b">
        <f t="shared" si="23"/>
        <v>1</v>
      </c>
      <c r="AE104" t="b">
        <f t="shared" si="24"/>
        <v>0</v>
      </c>
      <c r="AF104" t="b">
        <f t="shared" si="25"/>
        <v>0</v>
      </c>
      <c r="AG104" t="b">
        <f t="shared" si="26"/>
        <v>0</v>
      </c>
      <c r="AH104" t="b">
        <f t="shared" si="27"/>
        <v>0</v>
      </c>
    </row>
    <row r="105" spans="1:34" x14ac:dyDescent="0.2">
      <c r="A105" s="12" t="s">
        <v>169</v>
      </c>
      <c r="B105" s="12" t="s">
        <v>167</v>
      </c>
      <c r="C105" s="13" t="s">
        <v>168</v>
      </c>
      <c r="D105" s="18">
        <v>1</v>
      </c>
      <c r="E105" s="18">
        <v>0</v>
      </c>
      <c r="F105" s="18">
        <v>2</v>
      </c>
      <c r="G105" s="18">
        <v>2</v>
      </c>
      <c r="H105" s="18">
        <v>2</v>
      </c>
      <c r="I105" s="18">
        <v>1</v>
      </c>
      <c r="J105" s="19">
        <v>1</v>
      </c>
      <c r="K105" s="18">
        <v>2</v>
      </c>
      <c r="L105" s="18">
        <v>1</v>
      </c>
      <c r="M105" s="18">
        <v>2</v>
      </c>
      <c r="N105" s="18">
        <v>2</v>
      </c>
      <c r="O105" s="18">
        <v>1</v>
      </c>
      <c r="P105" s="18">
        <v>2</v>
      </c>
      <c r="Q105" s="17">
        <v>7</v>
      </c>
      <c r="R105">
        <v>5</v>
      </c>
      <c r="S105">
        <v>1</v>
      </c>
      <c r="T105">
        <v>0</v>
      </c>
      <c r="U105" s="14">
        <f t="shared" si="14"/>
        <v>13</v>
      </c>
      <c r="V105" t="b">
        <f t="shared" si="15"/>
        <v>1</v>
      </c>
      <c r="W105" t="b">
        <f t="shared" si="16"/>
        <v>1</v>
      </c>
      <c r="X105" t="b">
        <f t="shared" si="17"/>
        <v>1</v>
      </c>
      <c r="Y105" t="b">
        <f t="shared" si="18"/>
        <v>1</v>
      </c>
      <c r="Z105" t="b">
        <f t="shared" si="19"/>
        <v>1</v>
      </c>
      <c r="AA105" t="b">
        <f t="shared" si="20"/>
        <v>1</v>
      </c>
      <c r="AB105" t="b">
        <f t="shared" si="21"/>
        <v>1</v>
      </c>
      <c r="AC105" t="b">
        <f t="shared" si="22"/>
        <v>0</v>
      </c>
      <c r="AD105" t="b">
        <f t="shared" si="23"/>
        <v>0</v>
      </c>
      <c r="AE105" t="b">
        <f t="shared" si="24"/>
        <v>0</v>
      </c>
      <c r="AF105" t="b">
        <f t="shared" si="25"/>
        <v>0</v>
      </c>
      <c r="AG105" t="b">
        <f t="shared" si="26"/>
        <v>0</v>
      </c>
      <c r="AH105" t="b">
        <f t="shared" si="27"/>
        <v>0</v>
      </c>
    </row>
    <row r="106" spans="1:34" x14ac:dyDescent="0.2">
      <c r="A106" s="12" t="s">
        <v>170</v>
      </c>
      <c r="B106" s="12" t="s">
        <v>171</v>
      </c>
      <c r="C106" s="13" t="s">
        <v>172</v>
      </c>
      <c r="D106" s="18">
        <v>2</v>
      </c>
      <c r="E106" s="18">
        <v>1</v>
      </c>
      <c r="F106" s="18">
        <v>2</v>
      </c>
      <c r="G106" s="18">
        <v>2</v>
      </c>
      <c r="H106" s="18">
        <v>2</v>
      </c>
      <c r="I106" s="18">
        <v>1</v>
      </c>
      <c r="J106" s="19">
        <v>2</v>
      </c>
      <c r="K106" s="18">
        <v>2</v>
      </c>
      <c r="L106" s="18">
        <v>1</v>
      </c>
      <c r="M106" s="18">
        <v>2</v>
      </c>
      <c r="N106" s="18">
        <v>2</v>
      </c>
      <c r="O106" s="18">
        <v>2</v>
      </c>
      <c r="P106" s="18">
        <v>2</v>
      </c>
      <c r="Q106" s="17">
        <v>10</v>
      </c>
      <c r="R106">
        <v>3</v>
      </c>
      <c r="S106">
        <v>0</v>
      </c>
      <c r="T106">
        <v>0</v>
      </c>
      <c r="U106" s="14">
        <f t="shared" si="14"/>
        <v>13</v>
      </c>
      <c r="V106" t="b">
        <f t="shared" si="15"/>
        <v>1</v>
      </c>
      <c r="W106" t="b">
        <f t="shared" si="16"/>
        <v>1</v>
      </c>
      <c r="X106" t="b">
        <f t="shared" si="17"/>
        <v>1</v>
      </c>
      <c r="Y106" t="b">
        <f t="shared" si="18"/>
        <v>1</v>
      </c>
      <c r="Z106" t="b">
        <f t="shared" si="19"/>
        <v>1</v>
      </c>
      <c r="AA106" t="b">
        <f t="shared" si="20"/>
        <v>1</v>
      </c>
      <c r="AB106" t="b">
        <f t="shared" si="21"/>
        <v>1</v>
      </c>
      <c r="AC106" t="b">
        <f t="shared" si="22"/>
        <v>1</v>
      </c>
      <c r="AD106" t="b">
        <f t="shared" si="23"/>
        <v>1</v>
      </c>
      <c r="AE106" t="b">
        <f t="shared" si="24"/>
        <v>1</v>
      </c>
      <c r="AF106" t="b">
        <f t="shared" si="25"/>
        <v>0</v>
      </c>
      <c r="AG106" t="b">
        <f t="shared" si="26"/>
        <v>0</v>
      </c>
      <c r="AH106" t="b">
        <f t="shared" si="27"/>
        <v>0</v>
      </c>
    </row>
    <row r="107" spans="1:34" x14ac:dyDescent="0.2">
      <c r="A107" s="12" t="s">
        <v>173</v>
      </c>
      <c r="B107" s="12" t="s">
        <v>174</v>
      </c>
      <c r="C107" s="13" t="s">
        <v>174</v>
      </c>
      <c r="D107" s="18">
        <v>0</v>
      </c>
      <c r="E107" s="18">
        <v>2</v>
      </c>
      <c r="F107" s="18">
        <v>1</v>
      </c>
      <c r="G107" s="18">
        <v>2</v>
      </c>
      <c r="H107" s="18">
        <v>2</v>
      </c>
      <c r="I107" s="18">
        <v>0</v>
      </c>
      <c r="J107" s="19">
        <v>1</v>
      </c>
      <c r="K107" s="18">
        <v>2</v>
      </c>
      <c r="L107" s="18">
        <v>2</v>
      </c>
      <c r="M107" s="18">
        <v>2</v>
      </c>
      <c r="N107" s="18">
        <v>0</v>
      </c>
      <c r="O107" s="18">
        <v>2</v>
      </c>
      <c r="P107" s="18">
        <v>1</v>
      </c>
      <c r="Q107" s="17">
        <v>7</v>
      </c>
      <c r="R107">
        <v>3</v>
      </c>
      <c r="S107">
        <v>3</v>
      </c>
      <c r="T107">
        <v>0</v>
      </c>
      <c r="U107" s="14">
        <f t="shared" si="14"/>
        <v>13</v>
      </c>
      <c r="V107" t="b">
        <f t="shared" si="15"/>
        <v>1</v>
      </c>
      <c r="W107" t="b">
        <f t="shared" si="16"/>
        <v>1</v>
      </c>
      <c r="X107" t="b">
        <f t="shared" si="17"/>
        <v>1</v>
      </c>
      <c r="Y107" t="b">
        <f t="shared" si="18"/>
        <v>1</v>
      </c>
      <c r="Z107" t="b">
        <f t="shared" si="19"/>
        <v>1</v>
      </c>
      <c r="AA107" t="b">
        <f t="shared" si="20"/>
        <v>1</v>
      </c>
      <c r="AB107" t="b">
        <f t="shared" si="21"/>
        <v>1</v>
      </c>
      <c r="AC107" t="b">
        <f t="shared" si="22"/>
        <v>0</v>
      </c>
      <c r="AD107" t="b">
        <f t="shared" si="23"/>
        <v>0</v>
      </c>
      <c r="AE107" t="b">
        <f t="shared" si="24"/>
        <v>0</v>
      </c>
      <c r="AF107" t="b">
        <f t="shared" si="25"/>
        <v>0</v>
      </c>
      <c r="AG107" t="b">
        <f t="shared" si="26"/>
        <v>0</v>
      </c>
      <c r="AH107" t="b">
        <f t="shared" si="27"/>
        <v>0</v>
      </c>
    </row>
    <row r="108" spans="1:34" x14ac:dyDescent="0.2">
      <c r="A108" s="12" t="s">
        <v>123</v>
      </c>
      <c r="B108" s="12" t="s">
        <v>174</v>
      </c>
      <c r="C108" s="13" t="s">
        <v>174</v>
      </c>
      <c r="D108" s="18">
        <v>0</v>
      </c>
      <c r="E108" s="18">
        <v>2</v>
      </c>
      <c r="F108" s="18">
        <v>1</v>
      </c>
      <c r="G108" s="18">
        <v>1</v>
      </c>
      <c r="H108" s="18">
        <v>0</v>
      </c>
      <c r="I108" s="18">
        <v>0</v>
      </c>
      <c r="J108" s="19">
        <v>1</v>
      </c>
      <c r="K108" s="18">
        <v>0</v>
      </c>
      <c r="L108" s="18">
        <v>0</v>
      </c>
      <c r="M108" s="18">
        <v>0</v>
      </c>
      <c r="N108" s="18">
        <v>0</v>
      </c>
      <c r="O108" s="18">
        <v>0</v>
      </c>
      <c r="P108" s="18">
        <v>0</v>
      </c>
      <c r="Q108" s="17">
        <v>1</v>
      </c>
      <c r="R108">
        <v>3</v>
      </c>
      <c r="S108">
        <v>9</v>
      </c>
      <c r="T108">
        <v>0</v>
      </c>
      <c r="U108" s="14">
        <f t="shared" si="14"/>
        <v>13</v>
      </c>
      <c r="V108" t="b">
        <f t="shared" si="15"/>
        <v>1</v>
      </c>
      <c r="W108" t="b">
        <f t="shared" si="16"/>
        <v>0</v>
      </c>
      <c r="X108" t="b">
        <f t="shared" si="17"/>
        <v>0</v>
      </c>
      <c r="Y108" t="b">
        <f t="shared" si="18"/>
        <v>0</v>
      </c>
      <c r="Z108" t="b">
        <f t="shared" si="19"/>
        <v>0</v>
      </c>
      <c r="AA108" t="b">
        <f t="shared" si="20"/>
        <v>0</v>
      </c>
      <c r="AB108" t="b">
        <f t="shared" si="21"/>
        <v>0</v>
      </c>
      <c r="AC108" t="b">
        <f t="shared" si="22"/>
        <v>0</v>
      </c>
      <c r="AD108" t="b">
        <f t="shared" si="23"/>
        <v>0</v>
      </c>
      <c r="AE108" t="b">
        <f t="shared" si="24"/>
        <v>0</v>
      </c>
      <c r="AF108" t="b">
        <f t="shared" si="25"/>
        <v>0</v>
      </c>
      <c r="AG108" t="b">
        <f t="shared" si="26"/>
        <v>0</v>
      </c>
      <c r="AH108" t="b">
        <f t="shared" si="27"/>
        <v>0</v>
      </c>
    </row>
    <row r="109" spans="1:34" x14ac:dyDescent="0.2">
      <c r="A109" s="12" t="s">
        <v>56</v>
      </c>
      <c r="B109" s="12" t="s">
        <v>175</v>
      </c>
      <c r="C109" s="13" t="s">
        <v>175</v>
      </c>
      <c r="D109" s="18">
        <v>0</v>
      </c>
      <c r="E109" s="18">
        <v>2</v>
      </c>
      <c r="F109" s="18">
        <v>2</v>
      </c>
      <c r="G109" s="18">
        <v>2</v>
      </c>
      <c r="H109" s="18">
        <v>0</v>
      </c>
      <c r="I109" s="18">
        <v>1</v>
      </c>
      <c r="J109" s="19">
        <v>2</v>
      </c>
      <c r="K109" s="18">
        <v>0</v>
      </c>
      <c r="L109" s="18">
        <v>2</v>
      </c>
      <c r="M109" s="18">
        <v>2</v>
      </c>
      <c r="N109" s="18"/>
      <c r="O109" s="18">
        <v>2</v>
      </c>
      <c r="P109" s="18">
        <v>0</v>
      </c>
      <c r="Q109" s="17">
        <v>7</v>
      </c>
      <c r="R109">
        <v>1</v>
      </c>
      <c r="S109">
        <v>4</v>
      </c>
      <c r="T109">
        <v>1</v>
      </c>
      <c r="U109" s="14">
        <f t="shared" si="14"/>
        <v>13</v>
      </c>
      <c r="V109" t="b">
        <f t="shared" si="15"/>
        <v>1</v>
      </c>
      <c r="W109" t="b">
        <f t="shared" si="16"/>
        <v>1</v>
      </c>
      <c r="X109" t="b">
        <f t="shared" si="17"/>
        <v>1</v>
      </c>
      <c r="Y109" t="b">
        <f t="shared" si="18"/>
        <v>1</v>
      </c>
      <c r="Z109" t="b">
        <f t="shared" si="19"/>
        <v>1</v>
      </c>
      <c r="AA109" t="b">
        <f t="shared" si="20"/>
        <v>1</v>
      </c>
      <c r="AB109" t="b">
        <f t="shared" si="21"/>
        <v>1</v>
      </c>
      <c r="AC109" t="b">
        <f t="shared" si="22"/>
        <v>0</v>
      </c>
      <c r="AD109" t="b">
        <f t="shared" si="23"/>
        <v>0</v>
      </c>
      <c r="AE109" t="b">
        <f t="shared" si="24"/>
        <v>0</v>
      </c>
      <c r="AF109" t="b">
        <f t="shared" si="25"/>
        <v>0</v>
      </c>
      <c r="AG109" t="b">
        <f t="shared" si="26"/>
        <v>0</v>
      </c>
      <c r="AH109" t="b">
        <f t="shared" si="27"/>
        <v>0</v>
      </c>
    </row>
    <row r="110" spans="1:34" x14ac:dyDescent="0.2">
      <c r="A110" s="12" t="s">
        <v>176</v>
      </c>
      <c r="B110" s="12" t="s">
        <v>177</v>
      </c>
      <c r="C110" s="13" t="s">
        <v>178</v>
      </c>
      <c r="D110" s="18">
        <v>0</v>
      </c>
      <c r="E110" s="18">
        <v>2</v>
      </c>
      <c r="F110" s="18">
        <v>2</v>
      </c>
      <c r="G110" s="18">
        <v>2</v>
      </c>
      <c r="H110" s="18">
        <v>0</v>
      </c>
      <c r="I110" s="18">
        <v>2</v>
      </c>
      <c r="J110" s="19">
        <v>1</v>
      </c>
      <c r="K110" s="18">
        <v>1</v>
      </c>
      <c r="L110" s="18">
        <v>1</v>
      </c>
      <c r="M110" s="18">
        <v>1</v>
      </c>
      <c r="N110" s="18">
        <v>1</v>
      </c>
      <c r="O110" s="18">
        <v>2</v>
      </c>
      <c r="P110" s="18">
        <v>0</v>
      </c>
      <c r="Q110" s="17">
        <v>5</v>
      </c>
      <c r="R110">
        <v>5</v>
      </c>
      <c r="S110">
        <v>3</v>
      </c>
      <c r="T110">
        <v>0</v>
      </c>
      <c r="U110" s="14">
        <f t="shared" si="14"/>
        <v>13</v>
      </c>
      <c r="V110" t="b">
        <f t="shared" si="15"/>
        <v>1</v>
      </c>
      <c r="W110" t="b">
        <f t="shared" si="16"/>
        <v>1</v>
      </c>
      <c r="X110" t="b">
        <f t="shared" si="17"/>
        <v>1</v>
      </c>
      <c r="Y110" t="b">
        <f t="shared" si="18"/>
        <v>1</v>
      </c>
      <c r="Z110" t="b">
        <f t="shared" si="19"/>
        <v>1</v>
      </c>
      <c r="AA110" t="b">
        <f t="shared" si="20"/>
        <v>0</v>
      </c>
      <c r="AB110" t="b">
        <f t="shared" si="21"/>
        <v>0</v>
      </c>
      <c r="AC110" t="b">
        <f t="shared" si="22"/>
        <v>0</v>
      </c>
      <c r="AD110" t="b">
        <f t="shared" si="23"/>
        <v>0</v>
      </c>
      <c r="AE110" t="b">
        <f t="shared" si="24"/>
        <v>0</v>
      </c>
      <c r="AF110" t="b">
        <f t="shared" si="25"/>
        <v>0</v>
      </c>
      <c r="AG110" t="b">
        <f t="shared" si="26"/>
        <v>0</v>
      </c>
      <c r="AH110" t="b">
        <f t="shared" si="27"/>
        <v>0</v>
      </c>
    </row>
    <row r="111" spans="1:34" x14ac:dyDescent="0.2">
      <c r="A111" s="12" t="s">
        <v>179</v>
      </c>
      <c r="B111" s="12" t="s">
        <v>180</v>
      </c>
      <c r="C111" s="13" t="s">
        <v>180</v>
      </c>
      <c r="D111" s="18">
        <v>1</v>
      </c>
      <c r="E111" s="18">
        <v>2</v>
      </c>
      <c r="F111" s="18">
        <v>1</v>
      </c>
      <c r="G111" s="18">
        <v>1</v>
      </c>
      <c r="H111" s="18">
        <v>0</v>
      </c>
      <c r="I111" s="18">
        <v>2</v>
      </c>
      <c r="J111" s="19">
        <v>1</v>
      </c>
      <c r="K111" s="18">
        <v>2</v>
      </c>
      <c r="L111" s="18">
        <v>1</v>
      </c>
      <c r="M111" s="18">
        <v>2</v>
      </c>
      <c r="N111" s="18">
        <v>0</v>
      </c>
      <c r="O111" s="18">
        <v>2</v>
      </c>
      <c r="P111" s="18">
        <v>0</v>
      </c>
      <c r="Q111" s="17">
        <v>5</v>
      </c>
      <c r="R111">
        <v>5</v>
      </c>
      <c r="S111">
        <v>3</v>
      </c>
      <c r="T111">
        <v>0</v>
      </c>
      <c r="U111" s="14">
        <f t="shared" si="14"/>
        <v>13</v>
      </c>
      <c r="V111" t="b">
        <f t="shared" si="15"/>
        <v>1</v>
      </c>
      <c r="W111" t="b">
        <f t="shared" si="16"/>
        <v>1</v>
      </c>
      <c r="X111" t="b">
        <f t="shared" si="17"/>
        <v>1</v>
      </c>
      <c r="Y111" t="b">
        <f t="shared" si="18"/>
        <v>1</v>
      </c>
      <c r="Z111" t="b">
        <f t="shared" si="19"/>
        <v>1</v>
      </c>
      <c r="AA111" t="b">
        <f t="shared" si="20"/>
        <v>0</v>
      </c>
      <c r="AB111" t="b">
        <f t="shared" si="21"/>
        <v>0</v>
      </c>
      <c r="AC111" t="b">
        <f t="shared" si="22"/>
        <v>0</v>
      </c>
      <c r="AD111" t="b">
        <f t="shared" si="23"/>
        <v>0</v>
      </c>
      <c r="AE111" t="b">
        <f t="shared" si="24"/>
        <v>0</v>
      </c>
      <c r="AF111" t="b">
        <f t="shared" si="25"/>
        <v>0</v>
      </c>
      <c r="AG111" t="b">
        <f t="shared" si="26"/>
        <v>0</v>
      </c>
      <c r="AH111" t="b">
        <f t="shared" si="27"/>
        <v>0</v>
      </c>
    </row>
    <row r="112" spans="1:34" x14ac:dyDescent="0.2">
      <c r="A112" s="12" t="s">
        <v>181</v>
      </c>
      <c r="B112" s="12" t="s">
        <v>180</v>
      </c>
      <c r="C112" s="13" t="s">
        <v>180</v>
      </c>
      <c r="D112" s="18">
        <v>1</v>
      </c>
      <c r="E112" s="18">
        <v>1</v>
      </c>
      <c r="F112" s="18">
        <v>1</v>
      </c>
      <c r="G112" s="18">
        <v>2</v>
      </c>
      <c r="H112" s="18">
        <v>0</v>
      </c>
      <c r="I112" s="18">
        <v>2</v>
      </c>
      <c r="J112" s="19">
        <v>1</v>
      </c>
      <c r="K112" s="18">
        <v>2</v>
      </c>
      <c r="L112" s="18">
        <v>2</v>
      </c>
      <c r="M112" s="18">
        <v>1</v>
      </c>
      <c r="N112" s="18">
        <v>0</v>
      </c>
      <c r="O112" s="18">
        <v>2</v>
      </c>
      <c r="P112" s="18">
        <v>1</v>
      </c>
      <c r="Q112" s="17">
        <v>5</v>
      </c>
      <c r="R112">
        <v>6</v>
      </c>
      <c r="S112">
        <v>2</v>
      </c>
      <c r="T112">
        <v>0</v>
      </c>
      <c r="U112" s="14">
        <f t="shared" si="14"/>
        <v>13</v>
      </c>
      <c r="V112" t="b">
        <f t="shared" si="15"/>
        <v>1</v>
      </c>
      <c r="W112" t="b">
        <f t="shared" si="16"/>
        <v>1</v>
      </c>
      <c r="X112" t="b">
        <f t="shared" si="17"/>
        <v>1</v>
      </c>
      <c r="Y112" t="b">
        <f t="shared" si="18"/>
        <v>1</v>
      </c>
      <c r="Z112" t="b">
        <f t="shared" si="19"/>
        <v>1</v>
      </c>
      <c r="AA112" t="b">
        <f t="shared" si="20"/>
        <v>0</v>
      </c>
      <c r="AB112" t="b">
        <f t="shared" si="21"/>
        <v>0</v>
      </c>
      <c r="AC112" t="b">
        <f t="shared" si="22"/>
        <v>0</v>
      </c>
      <c r="AD112" t="b">
        <f t="shared" si="23"/>
        <v>0</v>
      </c>
      <c r="AE112" t="b">
        <f t="shared" si="24"/>
        <v>0</v>
      </c>
      <c r="AF112" t="b">
        <f t="shared" si="25"/>
        <v>0</v>
      </c>
      <c r="AG112" t="b">
        <f t="shared" si="26"/>
        <v>0</v>
      </c>
      <c r="AH112" t="b">
        <f t="shared" si="27"/>
        <v>0</v>
      </c>
    </row>
    <row r="113" spans="1:34" x14ac:dyDescent="0.2">
      <c r="A113" s="12" t="s">
        <v>182</v>
      </c>
      <c r="B113" s="12" t="s">
        <v>180</v>
      </c>
      <c r="C113" s="13" t="s">
        <v>180</v>
      </c>
      <c r="D113" s="18">
        <v>1</v>
      </c>
      <c r="E113" s="18">
        <v>1</v>
      </c>
      <c r="F113" s="18">
        <v>1</v>
      </c>
      <c r="G113" s="18">
        <v>2</v>
      </c>
      <c r="H113" s="18">
        <v>0</v>
      </c>
      <c r="I113" s="18">
        <v>2</v>
      </c>
      <c r="J113" s="19">
        <v>2</v>
      </c>
      <c r="K113" s="18">
        <v>2</v>
      </c>
      <c r="L113" s="18">
        <v>2</v>
      </c>
      <c r="M113" s="18">
        <v>2</v>
      </c>
      <c r="N113" s="18">
        <v>0</v>
      </c>
      <c r="O113" s="18">
        <v>2</v>
      </c>
      <c r="P113" s="18">
        <v>0</v>
      </c>
      <c r="Q113" s="17">
        <v>7</v>
      </c>
      <c r="R113">
        <v>3</v>
      </c>
      <c r="S113">
        <v>3</v>
      </c>
      <c r="T113">
        <v>0</v>
      </c>
      <c r="U113" s="14">
        <f t="shared" si="14"/>
        <v>13</v>
      </c>
      <c r="V113" t="b">
        <f t="shared" si="15"/>
        <v>1</v>
      </c>
      <c r="W113" t="b">
        <f t="shared" si="16"/>
        <v>1</v>
      </c>
      <c r="X113" t="b">
        <f t="shared" si="17"/>
        <v>1</v>
      </c>
      <c r="Y113" t="b">
        <f t="shared" si="18"/>
        <v>1</v>
      </c>
      <c r="Z113" t="b">
        <f t="shared" si="19"/>
        <v>1</v>
      </c>
      <c r="AA113" t="b">
        <f t="shared" si="20"/>
        <v>1</v>
      </c>
      <c r="AB113" t="b">
        <f t="shared" si="21"/>
        <v>1</v>
      </c>
      <c r="AC113" t="b">
        <f t="shared" si="22"/>
        <v>0</v>
      </c>
      <c r="AD113" t="b">
        <f t="shared" si="23"/>
        <v>0</v>
      </c>
      <c r="AE113" t="b">
        <f t="shared" si="24"/>
        <v>0</v>
      </c>
      <c r="AF113" t="b">
        <f t="shared" si="25"/>
        <v>0</v>
      </c>
      <c r="AG113" t="b">
        <f t="shared" si="26"/>
        <v>0</v>
      </c>
      <c r="AH113" t="b">
        <f t="shared" si="27"/>
        <v>0</v>
      </c>
    </row>
    <row r="114" spans="1:34" x14ac:dyDescent="0.2">
      <c r="A114" s="12" t="s">
        <v>183</v>
      </c>
      <c r="B114" s="12" t="s">
        <v>180</v>
      </c>
      <c r="C114" s="13" t="s">
        <v>180</v>
      </c>
      <c r="D114" s="18">
        <v>1</v>
      </c>
      <c r="E114" s="18">
        <v>1</v>
      </c>
      <c r="F114" s="18">
        <v>1</v>
      </c>
      <c r="G114" s="18">
        <v>2</v>
      </c>
      <c r="H114" s="18">
        <v>0</v>
      </c>
      <c r="I114" s="18">
        <v>2</v>
      </c>
      <c r="J114" s="19">
        <v>1</v>
      </c>
      <c r="K114" s="18">
        <v>0</v>
      </c>
      <c r="L114" s="18">
        <v>2</v>
      </c>
      <c r="M114" s="18">
        <v>1</v>
      </c>
      <c r="N114" s="18">
        <v>0</v>
      </c>
      <c r="O114" s="18">
        <v>2</v>
      </c>
      <c r="P114" s="18">
        <v>0</v>
      </c>
      <c r="Q114" s="17">
        <v>4</v>
      </c>
      <c r="R114">
        <v>5</v>
      </c>
      <c r="S114">
        <v>4</v>
      </c>
      <c r="T114">
        <v>0</v>
      </c>
      <c r="U114" s="14">
        <f t="shared" si="14"/>
        <v>13</v>
      </c>
      <c r="V114" t="b">
        <f t="shared" si="15"/>
        <v>1</v>
      </c>
      <c r="W114" t="b">
        <f t="shared" si="16"/>
        <v>1</v>
      </c>
      <c r="X114" t="b">
        <f t="shared" si="17"/>
        <v>1</v>
      </c>
      <c r="Y114" t="b">
        <f t="shared" si="18"/>
        <v>1</v>
      </c>
      <c r="Z114" t="b">
        <f t="shared" si="19"/>
        <v>0</v>
      </c>
      <c r="AA114" t="b">
        <f t="shared" si="20"/>
        <v>0</v>
      </c>
      <c r="AB114" t="b">
        <f t="shared" si="21"/>
        <v>0</v>
      </c>
      <c r="AC114" t="b">
        <f t="shared" si="22"/>
        <v>0</v>
      </c>
      <c r="AD114" t="b">
        <f t="shared" si="23"/>
        <v>0</v>
      </c>
      <c r="AE114" t="b">
        <f t="shared" si="24"/>
        <v>0</v>
      </c>
      <c r="AF114" t="b">
        <f t="shared" si="25"/>
        <v>0</v>
      </c>
      <c r="AG114" t="b">
        <f t="shared" si="26"/>
        <v>0</v>
      </c>
      <c r="AH114" t="b">
        <f t="shared" si="27"/>
        <v>0</v>
      </c>
    </row>
    <row r="115" spans="1:34" x14ac:dyDescent="0.2">
      <c r="A115" s="12" t="s">
        <v>184</v>
      </c>
      <c r="B115" s="12" t="s">
        <v>185</v>
      </c>
      <c r="C115" s="13" t="s">
        <v>185</v>
      </c>
      <c r="D115" s="18">
        <v>1</v>
      </c>
      <c r="E115" s="18">
        <v>1</v>
      </c>
      <c r="F115" s="18">
        <v>2</v>
      </c>
      <c r="G115" s="18">
        <v>2</v>
      </c>
      <c r="H115" s="18">
        <v>2</v>
      </c>
      <c r="I115" s="18">
        <v>1</v>
      </c>
      <c r="J115" s="19">
        <v>2</v>
      </c>
      <c r="K115" s="18">
        <v>2</v>
      </c>
      <c r="L115" s="18">
        <v>1</v>
      </c>
      <c r="M115" s="18">
        <v>2</v>
      </c>
      <c r="N115" s="18">
        <v>1</v>
      </c>
      <c r="O115" s="18">
        <v>2</v>
      </c>
      <c r="P115" s="18">
        <v>2</v>
      </c>
      <c r="Q115" s="17">
        <v>8</v>
      </c>
      <c r="R115">
        <v>5</v>
      </c>
      <c r="S115">
        <v>0</v>
      </c>
      <c r="T115">
        <v>0</v>
      </c>
      <c r="U115" s="14">
        <f t="shared" si="14"/>
        <v>13</v>
      </c>
      <c r="V115" t="b">
        <f t="shared" si="15"/>
        <v>1</v>
      </c>
      <c r="W115" t="b">
        <f t="shared" si="16"/>
        <v>1</v>
      </c>
      <c r="X115" t="b">
        <f t="shared" si="17"/>
        <v>1</v>
      </c>
      <c r="Y115" t="b">
        <f t="shared" si="18"/>
        <v>1</v>
      </c>
      <c r="Z115" t="b">
        <f t="shared" si="19"/>
        <v>1</v>
      </c>
      <c r="AA115" t="b">
        <f t="shared" si="20"/>
        <v>1</v>
      </c>
      <c r="AB115" t="b">
        <f t="shared" si="21"/>
        <v>1</v>
      </c>
      <c r="AC115" t="b">
        <f t="shared" si="22"/>
        <v>1</v>
      </c>
      <c r="AD115" t="b">
        <f t="shared" si="23"/>
        <v>0</v>
      </c>
      <c r="AE115" t="b">
        <f t="shared" si="24"/>
        <v>0</v>
      </c>
      <c r="AF115" t="b">
        <f t="shared" si="25"/>
        <v>0</v>
      </c>
      <c r="AG115" t="b">
        <f t="shared" si="26"/>
        <v>0</v>
      </c>
      <c r="AH115" t="b">
        <f t="shared" si="27"/>
        <v>0</v>
      </c>
    </row>
    <row r="116" spans="1:34" x14ac:dyDescent="0.2">
      <c r="A116" s="12" t="s">
        <v>186</v>
      </c>
      <c r="B116" s="12" t="s">
        <v>185</v>
      </c>
      <c r="C116" s="13" t="s">
        <v>185</v>
      </c>
      <c r="D116" s="18">
        <v>1</v>
      </c>
      <c r="E116" s="18">
        <v>1</v>
      </c>
      <c r="F116" s="18">
        <v>2</v>
      </c>
      <c r="G116" s="18">
        <v>2</v>
      </c>
      <c r="H116" s="18">
        <v>1</v>
      </c>
      <c r="I116" s="18">
        <v>2</v>
      </c>
      <c r="J116" s="19">
        <v>2</v>
      </c>
      <c r="K116" s="18">
        <v>1</v>
      </c>
      <c r="L116" s="18">
        <v>1</v>
      </c>
      <c r="M116" s="18">
        <v>2</v>
      </c>
      <c r="N116" s="18">
        <v>1</v>
      </c>
      <c r="O116" s="18">
        <v>2</v>
      </c>
      <c r="P116" s="18">
        <v>2</v>
      </c>
      <c r="Q116" s="17">
        <v>7</v>
      </c>
      <c r="R116">
        <v>6</v>
      </c>
      <c r="S116">
        <v>0</v>
      </c>
      <c r="T116">
        <v>0</v>
      </c>
      <c r="U116" s="14">
        <f t="shared" si="14"/>
        <v>13</v>
      </c>
      <c r="V116" t="b">
        <f t="shared" si="15"/>
        <v>1</v>
      </c>
      <c r="W116" t="b">
        <f t="shared" si="16"/>
        <v>1</v>
      </c>
      <c r="X116" t="b">
        <f t="shared" si="17"/>
        <v>1</v>
      </c>
      <c r="Y116" t="b">
        <f t="shared" si="18"/>
        <v>1</v>
      </c>
      <c r="Z116" t="b">
        <f t="shared" si="19"/>
        <v>1</v>
      </c>
      <c r="AA116" t="b">
        <f t="shared" si="20"/>
        <v>1</v>
      </c>
      <c r="AB116" t="b">
        <f t="shared" si="21"/>
        <v>1</v>
      </c>
      <c r="AC116" t="b">
        <f t="shared" si="22"/>
        <v>0</v>
      </c>
      <c r="AD116" t="b">
        <f t="shared" si="23"/>
        <v>0</v>
      </c>
      <c r="AE116" t="b">
        <f t="shared" si="24"/>
        <v>0</v>
      </c>
      <c r="AF116" t="b">
        <f t="shared" si="25"/>
        <v>0</v>
      </c>
      <c r="AG116" t="b">
        <f t="shared" si="26"/>
        <v>0</v>
      </c>
      <c r="AH116" t="b">
        <f t="shared" si="27"/>
        <v>0</v>
      </c>
    </row>
    <row r="117" spans="1:34" x14ac:dyDescent="0.2">
      <c r="A117" s="12" t="s">
        <v>187</v>
      </c>
      <c r="B117" s="12" t="s">
        <v>188</v>
      </c>
      <c r="C117" s="13" t="s">
        <v>188</v>
      </c>
      <c r="D117" s="18">
        <v>0</v>
      </c>
      <c r="E117" s="18">
        <v>1</v>
      </c>
      <c r="F117" s="18">
        <v>2</v>
      </c>
      <c r="G117" s="18">
        <v>2</v>
      </c>
      <c r="H117" s="18">
        <v>1</v>
      </c>
      <c r="I117" s="18">
        <v>2</v>
      </c>
      <c r="J117" s="19">
        <v>2</v>
      </c>
      <c r="K117" s="18">
        <v>1</v>
      </c>
      <c r="L117" s="18">
        <v>1</v>
      </c>
      <c r="M117" s="18">
        <v>1</v>
      </c>
      <c r="N117" s="18">
        <v>1</v>
      </c>
      <c r="O117" s="18">
        <v>2</v>
      </c>
      <c r="P117" s="18">
        <v>1</v>
      </c>
      <c r="Q117" s="17">
        <v>5</v>
      </c>
      <c r="R117">
        <v>7</v>
      </c>
      <c r="S117">
        <v>1</v>
      </c>
      <c r="T117">
        <v>0</v>
      </c>
      <c r="U117" s="14">
        <f t="shared" si="14"/>
        <v>13</v>
      </c>
      <c r="V117" t="b">
        <f t="shared" si="15"/>
        <v>1</v>
      </c>
      <c r="W117" t="b">
        <f t="shared" si="16"/>
        <v>1</v>
      </c>
      <c r="X117" t="b">
        <f t="shared" si="17"/>
        <v>1</v>
      </c>
      <c r="Y117" t="b">
        <f t="shared" si="18"/>
        <v>1</v>
      </c>
      <c r="Z117" t="b">
        <f t="shared" si="19"/>
        <v>1</v>
      </c>
      <c r="AA117" t="b">
        <f t="shared" si="20"/>
        <v>0</v>
      </c>
      <c r="AB117" t="b">
        <f t="shared" si="21"/>
        <v>0</v>
      </c>
      <c r="AC117" t="b">
        <f t="shared" si="22"/>
        <v>0</v>
      </c>
      <c r="AD117" t="b">
        <f t="shared" si="23"/>
        <v>0</v>
      </c>
      <c r="AE117" t="b">
        <f t="shared" si="24"/>
        <v>0</v>
      </c>
      <c r="AF117" t="b">
        <f t="shared" si="25"/>
        <v>0</v>
      </c>
      <c r="AG117" t="b">
        <f t="shared" si="26"/>
        <v>0</v>
      </c>
      <c r="AH117" t="b">
        <f t="shared" si="27"/>
        <v>0</v>
      </c>
    </row>
    <row r="118" spans="1:34" x14ac:dyDescent="0.2">
      <c r="A118" s="12" t="s">
        <v>145</v>
      </c>
      <c r="B118" s="12" t="s">
        <v>188</v>
      </c>
      <c r="C118" s="13" t="s">
        <v>188</v>
      </c>
      <c r="D118" s="18">
        <v>0</v>
      </c>
      <c r="E118" s="18">
        <v>0</v>
      </c>
      <c r="F118" s="18">
        <v>1</v>
      </c>
      <c r="G118" s="18">
        <v>1</v>
      </c>
      <c r="H118" s="18">
        <v>0</v>
      </c>
      <c r="I118" s="18">
        <v>0</v>
      </c>
      <c r="J118" s="19">
        <v>0</v>
      </c>
      <c r="K118" s="18">
        <v>0</v>
      </c>
      <c r="L118" s="18">
        <v>0</v>
      </c>
      <c r="M118" s="18">
        <v>0</v>
      </c>
      <c r="N118" s="18">
        <v>0</v>
      </c>
      <c r="O118" s="18"/>
      <c r="P118" s="18">
        <v>0</v>
      </c>
      <c r="Q118" s="17">
        <v>0</v>
      </c>
      <c r="R118">
        <v>2</v>
      </c>
      <c r="S118">
        <v>10</v>
      </c>
      <c r="T118">
        <v>1</v>
      </c>
      <c r="U118" s="14">
        <f t="shared" si="14"/>
        <v>13</v>
      </c>
      <c r="V118" t="b">
        <f t="shared" si="15"/>
        <v>0</v>
      </c>
      <c r="W118" t="b">
        <f t="shared" si="16"/>
        <v>0</v>
      </c>
      <c r="X118" t="b">
        <f t="shared" si="17"/>
        <v>0</v>
      </c>
      <c r="Y118" t="b">
        <f t="shared" si="18"/>
        <v>0</v>
      </c>
      <c r="Z118" t="b">
        <f t="shared" si="19"/>
        <v>0</v>
      </c>
      <c r="AA118" t="b">
        <f t="shared" si="20"/>
        <v>0</v>
      </c>
      <c r="AB118" t="b">
        <f t="shared" si="21"/>
        <v>0</v>
      </c>
      <c r="AC118" t="b">
        <f t="shared" si="22"/>
        <v>0</v>
      </c>
      <c r="AD118" t="b">
        <f t="shared" si="23"/>
        <v>0</v>
      </c>
      <c r="AE118" t="b">
        <f t="shared" si="24"/>
        <v>0</v>
      </c>
      <c r="AF118" t="b">
        <f t="shared" si="25"/>
        <v>0</v>
      </c>
      <c r="AG118" t="b">
        <f t="shared" si="26"/>
        <v>0</v>
      </c>
      <c r="AH118" t="b">
        <f t="shared" si="27"/>
        <v>0</v>
      </c>
    </row>
    <row r="119" spans="1:34" x14ac:dyDescent="0.2">
      <c r="A119" s="12" t="s">
        <v>189</v>
      </c>
      <c r="B119" s="12" t="s">
        <v>190</v>
      </c>
      <c r="C119" s="13" t="s">
        <v>190</v>
      </c>
      <c r="D119" s="18">
        <v>0</v>
      </c>
      <c r="E119" s="18">
        <v>0</v>
      </c>
      <c r="F119" s="18">
        <v>0</v>
      </c>
      <c r="G119" s="18">
        <v>0</v>
      </c>
      <c r="H119" s="18">
        <v>0</v>
      </c>
      <c r="I119" s="18">
        <v>0</v>
      </c>
      <c r="J119" s="19">
        <v>0</v>
      </c>
      <c r="K119" s="18">
        <v>0</v>
      </c>
      <c r="L119" s="18">
        <v>0</v>
      </c>
      <c r="M119" s="18">
        <v>0</v>
      </c>
      <c r="N119" s="18">
        <v>0</v>
      </c>
      <c r="O119" s="18">
        <v>0</v>
      </c>
      <c r="P119" s="18">
        <v>0</v>
      </c>
      <c r="Q119" s="17">
        <v>0</v>
      </c>
      <c r="R119">
        <v>0</v>
      </c>
      <c r="S119">
        <v>13</v>
      </c>
      <c r="T119">
        <v>0</v>
      </c>
      <c r="U119" s="14">
        <f t="shared" si="14"/>
        <v>13</v>
      </c>
      <c r="V119" t="b">
        <f t="shared" si="15"/>
        <v>0</v>
      </c>
      <c r="W119" t="b">
        <f t="shared" si="16"/>
        <v>0</v>
      </c>
      <c r="X119" t="b">
        <f t="shared" si="17"/>
        <v>0</v>
      </c>
      <c r="Y119" t="b">
        <f t="shared" si="18"/>
        <v>0</v>
      </c>
      <c r="Z119" t="b">
        <f t="shared" si="19"/>
        <v>0</v>
      </c>
      <c r="AA119" t="b">
        <f t="shared" si="20"/>
        <v>0</v>
      </c>
      <c r="AB119" t="b">
        <f t="shared" si="21"/>
        <v>0</v>
      </c>
      <c r="AC119" t="b">
        <f t="shared" si="22"/>
        <v>0</v>
      </c>
      <c r="AD119" t="b">
        <f t="shared" si="23"/>
        <v>0</v>
      </c>
      <c r="AE119" t="b">
        <f t="shared" si="24"/>
        <v>0</v>
      </c>
      <c r="AF119" t="b">
        <f t="shared" si="25"/>
        <v>0</v>
      </c>
      <c r="AG119" t="b">
        <f t="shared" si="26"/>
        <v>0</v>
      </c>
      <c r="AH119" t="b">
        <f t="shared" si="27"/>
        <v>0</v>
      </c>
    </row>
    <row r="120" spans="1:34" x14ac:dyDescent="0.2">
      <c r="A120" s="12" t="s">
        <v>191</v>
      </c>
      <c r="B120" s="12" t="s">
        <v>190</v>
      </c>
      <c r="C120" s="13" t="s">
        <v>190</v>
      </c>
      <c r="D120" s="18">
        <v>0</v>
      </c>
      <c r="E120" s="18">
        <v>2</v>
      </c>
      <c r="F120" s="18">
        <v>0</v>
      </c>
      <c r="G120" s="18">
        <v>0</v>
      </c>
      <c r="H120" s="18">
        <v>0</v>
      </c>
      <c r="I120" s="18">
        <v>0</v>
      </c>
      <c r="J120" s="19">
        <v>0</v>
      </c>
      <c r="K120" s="18">
        <v>0</v>
      </c>
      <c r="L120" s="18">
        <v>2</v>
      </c>
      <c r="M120" s="18">
        <v>0</v>
      </c>
      <c r="N120" s="18">
        <v>0</v>
      </c>
      <c r="O120" s="18">
        <v>0</v>
      </c>
      <c r="P120" s="18">
        <v>0</v>
      </c>
      <c r="Q120" s="17">
        <v>2</v>
      </c>
      <c r="R120">
        <v>0</v>
      </c>
      <c r="S120">
        <v>11</v>
      </c>
      <c r="T120">
        <v>0</v>
      </c>
      <c r="U120" s="14">
        <f t="shared" si="14"/>
        <v>13</v>
      </c>
      <c r="V120" t="b">
        <f t="shared" si="15"/>
        <v>1</v>
      </c>
      <c r="W120" t="b">
        <f t="shared" si="16"/>
        <v>1</v>
      </c>
      <c r="X120" t="b">
        <f t="shared" si="17"/>
        <v>0</v>
      </c>
      <c r="Y120" t="b">
        <f t="shared" si="18"/>
        <v>0</v>
      </c>
      <c r="Z120" t="b">
        <f t="shared" si="19"/>
        <v>0</v>
      </c>
      <c r="AA120" t="b">
        <f t="shared" si="20"/>
        <v>0</v>
      </c>
      <c r="AB120" t="b">
        <f t="shared" si="21"/>
        <v>0</v>
      </c>
      <c r="AC120" t="b">
        <f t="shared" si="22"/>
        <v>0</v>
      </c>
      <c r="AD120" t="b">
        <f t="shared" si="23"/>
        <v>0</v>
      </c>
      <c r="AE120" t="b">
        <f t="shared" si="24"/>
        <v>0</v>
      </c>
      <c r="AF120" t="b">
        <f t="shared" si="25"/>
        <v>0</v>
      </c>
      <c r="AG120" t="b">
        <f t="shared" si="26"/>
        <v>0</v>
      </c>
      <c r="AH120" t="b">
        <f t="shared" si="27"/>
        <v>0</v>
      </c>
    </row>
    <row r="121" spans="1:34" x14ac:dyDescent="0.2">
      <c r="A121" s="12" t="s">
        <v>192</v>
      </c>
      <c r="B121" s="12" t="s">
        <v>190</v>
      </c>
      <c r="C121" s="13" t="s">
        <v>190</v>
      </c>
      <c r="D121" s="18">
        <v>0</v>
      </c>
      <c r="E121" s="18">
        <v>0</v>
      </c>
      <c r="F121" s="18">
        <v>0</v>
      </c>
      <c r="G121" s="18">
        <v>0</v>
      </c>
      <c r="H121" s="18">
        <v>0</v>
      </c>
      <c r="I121" s="18">
        <v>0</v>
      </c>
      <c r="J121" s="19">
        <v>0</v>
      </c>
      <c r="K121" s="18">
        <v>0</v>
      </c>
      <c r="L121" s="18">
        <v>2</v>
      </c>
      <c r="M121" s="18">
        <v>0</v>
      </c>
      <c r="N121" s="18">
        <v>0</v>
      </c>
      <c r="O121" s="18">
        <v>0</v>
      </c>
      <c r="P121" s="18">
        <v>0</v>
      </c>
      <c r="Q121" s="17">
        <v>1</v>
      </c>
      <c r="R121">
        <v>0</v>
      </c>
      <c r="S121">
        <v>12</v>
      </c>
      <c r="T121">
        <v>0</v>
      </c>
      <c r="U121" s="14">
        <f t="shared" si="14"/>
        <v>13</v>
      </c>
      <c r="V121" t="b">
        <f t="shared" si="15"/>
        <v>1</v>
      </c>
      <c r="W121" t="b">
        <f t="shared" si="16"/>
        <v>0</v>
      </c>
      <c r="X121" t="b">
        <f t="shared" si="17"/>
        <v>0</v>
      </c>
      <c r="Y121" t="b">
        <f t="shared" si="18"/>
        <v>0</v>
      </c>
      <c r="Z121" t="b">
        <f t="shared" si="19"/>
        <v>0</v>
      </c>
      <c r="AA121" t="b">
        <f t="shared" si="20"/>
        <v>0</v>
      </c>
      <c r="AB121" t="b">
        <f t="shared" si="21"/>
        <v>0</v>
      </c>
      <c r="AC121" t="b">
        <f t="shared" si="22"/>
        <v>0</v>
      </c>
      <c r="AD121" t="b">
        <f t="shared" si="23"/>
        <v>0</v>
      </c>
      <c r="AE121" t="b">
        <f t="shared" si="24"/>
        <v>0</v>
      </c>
      <c r="AF121" t="b">
        <f t="shared" si="25"/>
        <v>0</v>
      </c>
      <c r="AG121" t="b">
        <f t="shared" si="26"/>
        <v>0</v>
      </c>
      <c r="AH121" t="b">
        <f t="shared" si="27"/>
        <v>0</v>
      </c>
    </row>
    <row r="122" spans="1:34" x14ac:dyDescent="0.2">
      <c r="A122" s="12" t="s">
        <v>193</v>
      </c>
      <c r="B122" s="12" t="s">
        <v>194</v>
      </c>
      <c r="C122" s="13" t="s">
        <v>96</v>
      </c>
      <c r="D122" s="18">
        <v>0</v>
      </c>
      <c r="E122" s="18">
        <v>0</v>
      </c>
      <c r="F122" s="18">
        <v>1</v>
      </c>
      <c r="G122" s="18">
        <v>1</v>
      </c>
      <c r="H122" s="18">
        <v>0</v>
      </c>
      <c r="I122" s="18">
        <v>0</v>
      </c>
      <c r="J122" s="19">
        <v>1</v>
      </c>
      <c r="K122" s="18">
        <v>0</v>
      </c>
      <c r="L122" s="18">
        <v>2</v>
      </c>
      <c r="M122" s="18">
        <v>0</v>
      </c>
      <c r="N122" s="18">
        <v>0</v>
      </c>
      <c r="O122" s="18">
        <v>2</v>
      </c>
      <c r="P122" s="18">
        <v>0</v>
      </c>
      <c r="Q122" s="17">
        <v>2</v>
      </c>
      <c r="R122">
        <v>3</v>
      </c>
      <c r="S122">
        <v>8</v>
      </c>
      <c r="T122">
        <v>0</v>
      </c>
      <c r="U122" s="14">
        <f t="shared" si="14"/>
        <v>13</v>
      </c>
      <c r="V122" t="b">
        <f t="shared" si="15"/>
        <v>1</v>
      </c>
      <c r="W122" t="b">
        <f t="shared" si="16"/>
        <v>1</v>
      </c>
      <c r="X122" t="b">
        <f t="shared" si="17"/>
        <v>0</v>
      </c>
      <c r="Y122" t="b">
        <f t="shared" si="18"/>
        <v>0</v>
      </c>
      <c r="Z122" t="b">
        <f t="shared" si="19"/>
        <v>0</v>
      </c>
      <c r="AA122" t="b">
        <f t="shared" si="20"/>
        <v>0</v>
      </c>
      <c r="AB122" t="b">
        <f t="shared" si="21"/>
        <v>0</v>
      </c>
      <c r="AC122" t="b">
        <f t="shared" si="22"/>
        <v>0</v>
      </c>
      <c r="AD122" t="b">
        <f t="shared" si="23"/>
        <v>0</v>
      </c>
      <c r="AE122" t="b">
        <f t="shared" si="24"/>
        <v>0</v>
      </c>
      <c r="AF122" t="b">
        <f t="shared" si="25"/>
        <v>0</v>
      </c>
      <c r="AG122" t="b">
        <f t="shared" si="26"/>
        <v>0</v>
      </c>
      <c r="AH122" t="b">
        <f t="shared" si="27"/>
        <v>0</v>
      </c>
    </row>
    <row r="123" spans="1:34" x14ac:dyDescent="0.2">
      <c r="A123" s="12" t="s">
        <v>136</v>
      </c>
      <c r="B123" s="12" t="s">
        <v>96</v>
      </c>
      <c r="C123" s="13" t="s">
        <v>96</v>
      </c>
      <c r="D123" s="18">
        <v>1</v>
      </c>
      <c r="E123" s="18">
        <v>0</v>
      </c>
      <c r="F123" s="18">
        <v>2</v>
      </c>
      <c r="G123" s="18">
        <v>2</v>
      </c>
      <c r="H123" s="18">
        <v>2</v>
      </c>
      <c r="I123" s="18">
        <v>1</v>
      </c>
      <c r="J123" s="19">
        <v>2</v>
      </c>
      <c r="K123" s="18">
        <v>1</v>
      </c>
      <c r="L123" s="18">
        <v>2</v>
      </c>
      <c r="M123" s="18">
        <v>2</v>
      </c>
      <c r="N123" s="18">
        <v>1</v>
      </c>
      <c r="O123" s="18">
        <v>1</v>
      </c>
      <c r="P123" s="18">
        <v>1</v>
      </c>
      <c r="Q123" s="17">
        <v>6</v>
      </c>
      <c r="R123">
        <v>6</v>
      </c>
      <c r="S123">
        <v>1</v>
      </c>
      <c r="T123">
        <v>0</v>
      </c>
      <c r="U123" s="14">
        <f t="shared" si="14"/>
        <v>13</v>
      </c>
      <c r="V123" t="b">
        <f t="shared" si="15"/>
        <v>1</v>
      </c>
      <c r="W123" t="b">
        <f t="shared" si="16"/>
        <v>1</v>
      </c>
      <c r="X123" t="b">
        <f t="shared" si="17"/>
        <v>1</v>
      </c>
      <c r="Y123" t="b">
        <f t="shared" si="18"/>
        <v>1</v>
      </c>
      <c r="Z123" t="b">
        <f t="shared" si="19"/>
        <v>1</v>
      </c>
      <c r="AA123" t="b">
        <f t="shared" si="20"/>
        <v>1</v>
      </c>
      <c r="AB123" t="b">
        <f t="shared" si="21"/>
        <v>0</v>
      </c>
      <c r="AC123" t="b">
        <f t="shared" si="22"/>
        <v>0</v>
      </c>
      <c r="AD123" t="b">
        <f t="shared" si="23"/>
        <v>0</v>
      </c>
      <c r="AE123" t="b">
        <f t="shared" si="24"/>
        <v>0</v>
      </c>
      <c r="AF123" t="b">
        <f t="shared" si="25"/>
        <v>0</v>
      </c>
      <c r="AG123" t="b">
        <f t="shared" si="26"/>
        <v>0</v>
      </c>
      <c r="AH123" t="b">
        <f t="shared" si="27"/>
        <v>0</v>
      </c>
    </row>
    <row r="124" spans="1:34" x14ac:dyDescent="0.2">
      <c r="A124" s="12" t="s">
        <v>195</v>
      </c>
      <c r="B124" s="12" t="s">
        <v>96</v>
      </c>
      <c r="C124" s="13" t="s">
        <v>96</v>
      </c>
      <c r="D124" s="18">
        <v>0</v>
      </c>
      <c r="E124" s="18">
        <v>0</v>
      </c>
      <c r="F124" s="18">
        <v>1</v>
      </c>
      <c r="G124" s="18">
        <v>1</v>
      </c>
      <c r="H124" s="18">
        <v>0</v>
      </c>
      <c r="I124" s="18">
        <v>0</v>
      </c>
      <c r="J124" s="19">
        <v>1</v>
      </c>
      <c r="K124" s="18">
        <v>2</v>
      </c>
      <c r="L124" s="18">
        <v>0</v>
      </c>
      <c r="M124" s="18">
        <v>1</v>
      </c>
      <c r="N124" s="18">
        <v>0</v>
      </c>
      <c r="O124" s="18">
        <v>2</v>
      </c>
      <c r="P124" s="18">
        <v>0</v>
      </c>
      <c r="Q124" s="17">
        <v>2</v>
      </c>
      <c r="R124">
        <v>4</v>
      </c>
      <c r="S124">
        <v>7</v>
      </c>
      <c r="T124">
        <v>0</v>
      </c>
      <c r="U124" s="14">
        <f t="shared" si="14"/>
        <v>13</v>
      </c>
      <c r="V124" t="b">
        <f t="shared" si="15"/>
        <v>1</v>
      </c>
      <c r="W124" t="b">
        <f t="shared" si="16"/>
        <v>1</v>
      </c>
      <c r="X124" t="b">
        <f t="shared" si="17"/>
        <v>0</v>
      </c>
      <c r="Y124" t="b">
        <f t="shared" si="18"/>
        <v>0</v>
      </c>
      <c r="Z124" t="b">
        <f t="shared" si="19"/>
        <v>0</v>
      </c>
      <c r="AA124" t="b">
        <f t="shared" si="20"/>
        <v>0</v>
      </c>
      <c r="AB124" t="b">
        <f t="shared" si="21"/>
        <v>0</v>
      </c>
      <c r="AC124" t="b">
        <f t="shared" si="22"/>
        <v>0</v>
      </c>
      <c r="AD124" t="b">
        <f t="shared" si="23"/>
        <v>0</v>
      </c>
      <c r="AE124" t="b">
        <f t="shared" si="24"/>
        <v>0</v>
      </c>
      <c r="AF124" t="b">
        <f t="shared" si="25"/>
        <v>0</v>
      </c>
      <c r="AG124" t="b">
        <f t="shared" si="26"/>
        <v>0</v>
      </c>
      <c r="AH124" t="b">
        <f t="shared" si="27"/>
        <v>0</v>
      </c>
    </row>
    <row r="125" spans="1:34" x14ac:dyDescent="0.2">
      <c r="A125" s="12" t="s">
        <v>196</v>
      </c>
      <c r="B125" s="12" t="s">
        <v>96</v>
      </c>
      <c r="C125" s="13" t="s">
        <v>96</v>
      </c>
      <c r="D125" s="18">
        <v>0</v>
      </c>
      <c r="E125" s="18">
        <v>0</v>
      </c>
      <c r="F125" s="18">
        <v>2</v>
      </c>
      <c r="G125" s="18">
        <v>2</v>
      </c>
      <c r="H125" s="18">
        <v>0</v>
      </c>
      <c r="I125" s="18">
        <v>1</v>
      </c>
      <c r="J125" s="19">
        <v>2</v>
      </c>
      <c r="K125" s="18">
        <v>2</v>
      </c>
      <c r="L125" s="18">
        <v>1</v>
      </c>
      <c r="M125" s="18">
        <v>1</v>
      </c>
      <c r="N125" s="18">
        <v>0</v>
      </c>
      <c r="O125" s="18">
        <v>2</v>
      </c>
      <c r="P125" s="18">
        <v>1</v>
      </c>
      <c r="Q125" s="17">
        <v>5</v>
      </c>
      <c r="R125">
        <v>4</v>
      </c>
      <c r="S125">
        <v>4</v>
      </c>
      <c r="T125">
        <v>0</v>
      </c>
      <c r="U125" s="14">
        <f t="shared" si="14"/>
        <v>13</v>
      </c>
      <c r="V125" t="b">
        <f t="shared" si="15"/>
        <v>1</v>
      </c>
      <c r="W125" t="b">
        <f t="shared" si="16"/>
        <v>1</v>
      </c>
      <c r="X125" t="b">
        <f t="shared" si="17"/>
        <v>1</v>
      </c>
      <c r="Y125" t="b">
        <f t="shared" si="18"/>
        <v>1</v>
      </c>
      <c r="Z125" t="b">
        <f t="shared" si="19"/>
        <v>1</v>
      </c>
      <c r="AA125" t="b">
        <f t="shared" si="20"/>
        <v>0</v>
      </c>
      <c r="AB125" t="b">
        <f t="shared" si="21"/>
        <v>0</v>
      </c>
      <c r="AC125" t="b">
        <f t="shared" si="22"/>
        <v>0</v>
      </c>
      <c r="AD125" t="b">
        <f t="shared" si="23"/>
        <v>0</v>
      </c>
      <c r="AE125" t="b">
        <f t="shared" si="24"/>
        <v>0</v>
      </c>
      <c r="AF125" t="b">
        <f t="shared" si="25"/>
        <v>0</v>
      </c>
      <c r="AG125" t="b">
        <f t="shared" si="26"/>
        <v>0</v>
      </c>
      <c r="AH125" t="b">
        <f t="shared" si="27"/>
        <v>0</v>
      </c>
    </row>
    <row r="126" spans="1:34" x14ac:dyDescent="0.2">
      <c r="A126" s="12" t="s">
        <v>193</v>
      </c>
      <c r="B126" s="12" t="s">
        <v>96</v>
      </c>
      <c r="C126" s="13" t="s">
        <v>96</v>
      </c>
      <c r="D126" s="18">
        <v>0</v>
      </c>
      <c r="E126" s="18">
        <v>1</v>
      </c>
      <c r="F126" s="18">
        <v>1</v>
      </c>
      <c r="G126" s="18">
        <v>1</v>
      </c>
      <c r="H126" s="18">
        <v>0</v>
      </c>
      <c r="I126" s="18">
        <v>1</v>
      </c>
      <c r="J126" s="19">
        <v>1</v>
      </c>
      <c r="K126" s="18">
        <v>1</v>
      </c>
      <c r="L126" s="18">
        <v>0</v>
      </c>
      <c r="M126" s="18">
        <v>0</v>
      </c>
      <c r="N126" s="18">
        <v>0</v>
      </c>
      <c r="O126" s="18">
        <v>2</v>
      </c>
      <c r="P126" s="18">
        <v>0</v>
      </c>
      <c r="Q126" s="17">
        <v>1</v>
      </c>
      <c r="R126">
        <v>6</v>
      </c>
      <c r="S126">
        <v>6</v>
      </c>
      <c r="T126">
        <v>0</v>
      </c>
      <c r="U126" s="14">
        <f t="shared" si="14"/>
        <v>13</v>
      </c>
      <c r="V126" t="b">
        <f t="shared" si="15"/>
        <v>1</v>
      </c>
      <c r="W126" t="b">
        <f t="shared" si="16"/>
        <v>0</v>
      </c>
      <c r="X126" t="b">
        <f t="shared" si="17"/>
        <v>0</v>
      </c>
      <c r="Y126" t="b">
        <f t="shared" si="18"/>
        <v>0</v>
      </c>
      <c r="Z126" t="b">
        <f t="shared" si="19"/>
        <v>0</v>
      </c>
      <c r="AA126" t="b">
        <f t="shared" si="20"/>
        <v>0</v>
      </c>
      <c r="AB126" t="b">
        <f t="shared" si="21"/>
        <v>0</v>
      </c>
      <c r="AC126" t="b">
        <f t="shared" si="22"/>
        <v>0</v>
      </c>
      <c r="AD126" t="b">
        <f t="shared" si="23"/>
        <v>0</v>
      </c>
      <c r="AE126" t="b">
        <f t="shared" si="24"/>
        <v>0</v>
      </c>
      <c r="AF126" t="b">
        <f t="shared" si="25"/>
        <v>0</v>
      </c>
      <c r="AG126" t="b">
        <f t="shared" si="26"/>
        <v>0</v>
      </c>
      <c r="AH126" t="b">
        <f t="shared" si="27"/>
        <v>0</v>
      </c>
    </row>
    <row r="127" spans="1:34" x14ac:dyDescent="0.2">
      <c r="A127" s="12" t="s">
        <v>197</v>
      </c>
      <c r="B127" s="12" t="s">
        <v>96</v>
      </c>
      <c r="C127" s="13" t="s">
        <v>96</v>
      </c>
      <c r="D127" s="18">
        <v>1</v>
      </c>
      <c r="E127" s="18">
        <v>1</v>
      </c>
      <c r="F127" s="18">
        <v>2</v>
      </c>
      <c r="G127" s="18">
        <v>2</v>
      </c>
      <c r="H127" s="18">
        <v>2</v>
      </c>
      <c r="I127" s="18">
        <v>1</v>
      </c>
      <c r="J127" s="19">
        <v>0</v>
      </c>
      <c r="K127" s="18">
        <v>2</v>
      </c>
      <c r="L127" s="18">
        <v>1</v>
      </c>
      <c r="M127" s="18">
        <v>2</v>
      </c>
      <c r="N127" s="18">
        <v>1</v>
      </c>
      <c r="O127" s="18">
        <v>2</v>
      </c>
      <c r="P127" s="18">
        <v>1</v>
      </c>
      <c r="Q127" s="17">
        <v>6</v>
      </c>
      <c r="R127">
        <v>6</v>
      </c>
      <c r="S127">
        <v>1</v>
      </c>
      <c r="T127">
        <v>0</v>
      </c>
      <c r="U127" s="14">
        <f t="shared" si="14"/>
        <v>13</v>
      </c>
      <c r="V127" t="b">
        <f t="shared" si="15"/>
        <v>1</v>
      </c>
      <c r="W127" t="b">
        <f t="shared" si="16"/>
        <v>1</v>
      </c>
      <c r="X127" t="b">
        <f t="shared" si="17"/>
        <v>1</v>
      </c>
      <c r="Y127" t="b">
        <f t="shared" si="18"/>
        <v>1</v>
      </c>
      <c r="Z127" t="b">
        <f t="shared" si="19"/>
        <v>1</v>
      </c>
      <c r="AA127" t="b">
        <f t="shared" si="20"/>
        <v>1</v>
      </c>
      <c r="AB127" t="b">
        <f t="shared" si="21"/>
        <v>0</v>
      </c>
      <c r="AC127" t="b">
        <f t="shared" si="22"/>
        <v>0</v>
      </c>
      <c r="AD127" t="b">
        <f t="shared" si="23"/>
        <v>0</v>
      </c>
      <c r="AE127" t="b">
        <f t="shared" si="24"/>
        <v>0</v>
      </c>
      <c r="AF127" t="b">
        <f t="shared" si="25"/>
        <v>0</v>
      </c>
      <c r="AG127" t="b">
        <f t="shared" si="26"/>
        <v>0</v>
      </c>
      <c r="AH127" t="b">
        <f t="shared" si="27"/>
        <v>0</v>
      </c>
    </row>
    <row r="128" spans="1:34" x14ac:dyDescent="0.2">
      <c r="A128" s="12" t="s">
        <v>198</v>
      </c>
      <c r="B128" s="12" t="s">
        <v>199</v>
      </c>
      <c r="C128" s="13" t="s">
        <v>199</v>
      </c>
      <c r="D128" s="18">
        <v>0</v>
      </c>
      <c r="E128" s="18">
        <v>1</v>
      </c>
      <c r="F128" s="18">
        <v>1</v>
      </c>
      <c r="G128" s="18">
        <v>1</v>
      </c>
      <c r="H128" s="18">
        <v>0</v>
      </c>
      <c r="I128" s="18">
        <v>0</v>
      </c>
      <c r="J128" s="19">
        <v>1</v>
      </c>
      <c r="K128" s="18">
        <v>2</v>
      </c>
      <c r="L128" s="18">
        <v>1</v>
      </c>
      <c r="M128" s="18">
        <v>0</v>
      </c>
      <c r="N128" s="18">
        <v>0</v>
      </c>
      <c r="O128" s="18">
        <v>0</v>
      </c>
      <c r="P128" s="18">
        <v>0</v>
      </c>
      <c r="Q128" s="17">
        <v>1</v>
      </c>
      <c r="R128">
        <v>5</v>
      </c>
      <c r="S128">
        <v>7</v>
      </c>
      <c r="T128">
        <v>0</v>
      </c>
      <c r="U128" s="14">
        <f t="shared" si="14"/>
        <v>13</v>
      </c>
      <c r="V128" t="b">
        <f t="shared" si="15"/>
        <v>1</v>
      </c>
      <c r="W128" t="b">
        <f t="shared" si="16"/>
        <v>0</v>
      </c>
      <c r="X128" t="b">
        <f t="shared" si="17"/>
        <v>0</v>
      </c>
      <c r="Y128" t="b">
        <f t="shared" si="18"/>
        <v>0</v>
      </c>
      <c r="Z128" t="b">
        <f t="shared" si="19"/>
        <v>0</v>
      </c>
      <c r="AA128" t="b">
        <f t="shared" si="20"/>
        <v>0</v>
      </c>
      <c r="AB128" t="b">
        <f t="shared" si="21"/>
        <v>0</v>
      </c>
      <c r="AC128" t="b">
        <f t="shared" si="22"/>
        <v>0</v>
      </c>
      <c r="AD128" t="b">
        <f t="shared" si="23"/>
        <v>0</v>
      </c>
      <c r="AE128" t="b">
        <f t="shared" si="24"/>
        <v>0</v>
      </c>
      <c r="AF128" t="b">
        <f t="shared" si="25"/>
        <v>0</v>
      </c>
      <c r="AG128" t="b">
        <f t="shared" si="26"/>
        <v>0</v>
      </c>
      <c r="AH128" t="b">
        <f t="shared" si="27"/>
        <v>0</v>
      </c>
    </row>
    <row r="129" spans="1:34" x14ac:dyDescent="0.2">
      <c r="A129" s="12" t="s">
        <v>182</v>
      </c>
      <c r="B129" s="12" t="s">
        <v>199</v>
      </c>
      <c r="C129" s="13" t="s">
        <v>199</v>
      </c>
      <c r="D129" s="18">
        <v>0</v>
      </c>
      <c r="E129" s="18">
        <v>1</v>
      </c>
      <c r="F129" s="18">
        <v>1</v>
      </c>
      <c r="G129" s="18">
        <v>0</v>
      </c>
      <c r="H129" s="18">
        <v>0</v>
      </c>
      <c r="I129" s="18">
        <v>0</v>
      </c>
      <c r="J129" s="19">
        <v>1</v>
      </c>
      <c r="K129" s="18">
        <v>0</v>
      </c>
      <c r="L129" s="18">
        <v>1</v>
      </c>
      <c r="M129" s="18">
        <v>1</v>
      </c>
      <c r="N129" s="18">
        <v>0</v>
      </c>
      <c r="O129" s="18">
        <v>0</v>
      </c>
      <c r="P129" s="18">
        <v>0</v>
      </c>
      <c r="Q129" s="17">
        <v>0</v>
      </c>
      <c r="R129">
        <v>5</v>
      </c>
      <c r="S129">
        <v>8</v>
      </c>
      <c r="T129">
        <v>0</v>
      </c>
      <c r="U129" s="14">
        <f t="shared" si="14"/>
        <v>13</v>
      </c>
      <c r="V129" t="b">
        <f t="shared" si="15"/>
        <v>0</v>
      </c>
      <c r="W129" t="b">
        <f t="shared" si="16"/>
        <v>0</v>
      </c>
      <c r="X129" t="b">
        <f t="shared" si="17"/>
        <v>0</v>
      </c>
      <c r="Y129" t="b">
        <f t="shared" si="18"/>
        <v>0</v>
      </c>
      <c r="Z129" t="b">
        <f t="shared" si="19"/>
        <v>0</v>
      </c>
      <c r="AA129" t="b">
        <f t="shared" si="20"/>
        <v>0</v>
      </c>
      <c r="AB129" t="b">
        <f t="shared" si="21"/>
        <v>0</v>
      </c>
      <c r="AC129" t="b">
        <f t="shared" si="22"/>
        <v>0</v>
      </c>
      <c r="AD129" t="b">
        <f t="shared" si="23"/>
        <v>0</v>
      </c>
      <c r="AE129" t="b">
        <f t="shared" si="24"/>
        <v>0</v>
      </c>
      <c r="AF129" t="b">
        <f t="shared" si="25"/>
        <v>0</v>
      </c>
      <c r="AG129" t="b">
        <f t="shared" si="26"/>
        <v>0</v>
      </c>
      <c r="AH129" t="b">
        <f t="shared" si="27"/>
        <v>0</v>
      </c>
    </row>
    <row r="130" spans="1:34" x14ac:dyDescent="0.2">
      <c r="A130" s="12" t="s">
        <v>84</v>
      </c>
      <c r="B130" s="12" t="s">
        <v>199</v>
      </c>
      <c r="C130" s="13" t="s">
        <v>199</v>
      </c>
      <c r="D130" s="18">
        <v>0</v>
      </c>
      <c r="E130" s="18">
        <v>1</v>
      </c>
      <c r="F130" s="18">
        <v>1</v>
      </c>
      <c r="G130" s="18">
        <v>1</v>
      </c>
      <c r="H130" s="18">
        <v>2</v>
      </c>
      <c r="I130" s="18">
        <v>0</v>
      </c>
      <c r="J130" s="19">
        <v>2</v>
      </c>
      <c r="K130" s="18">
        <v>0</v>
      </c>
      <c r="L130" s="18">
        <v>1</v>
      </c>
      <c r="M130" s="18">
        <v>0</v>
      </c>
      <c r="N130" s="18">
        <v>1</v>
      </c>
      <c r="O130" s="18">
        <v>0</v>
      </c>
      <c r="P130" s="18">
        <v>1</v>
      </c>
      <c r="Q130" s="17">
        <v>2</v>
      </c>
      <c r="R130">
        <v>6</v>
      </c>
      <c r="S130">
        <v>5</v>
      </c>
      <c r="T130">
        <v>0</v>
      </c>
      <c r="U130" s="14">
        <f t="shared" si="14"/>
        <v>13</v>
      </c>
      <c r="V130" t="b">
        <f t="shared" si="15"/>
        <v>1</v>
      </c>
      <c r="W130" t="b">
        <f t="shared" si="16"/>
        <v>1</v>
      </c>
      <c r="X130" t="b">
        <f t="shared" si="17"/>
        <v>0</v>
      </c>
      <c r="Y130" t="b">
        <f t="shared" si="18"/>
        <v>0</v>
      </c>
      <c r="Z130" t="b">
        <f t="shared" si="19"/>
        <v>0</v>
      </c>
      <c r="AA130" t="b">
        <f t="shared" si="20"/>
        <v>0</v>
      </c>
      <c r="AB130" t="b">
        <f t="shared" si="21"/>
        <v>0</v>
      </c>
      <c r="AC130" t="b">
        <f t="shared" si="22"/>
        <v>0</v>
      </c>
      <c r="AD130" t="b">
        <f t="shared" si="23"/>
        <v>0</v>
      </c>
      <c r="AE130" t="b">
        <f t="shared" si="24"/>
        <v>0</v>
      </c>
      <c r="AF130" t="b">
        <f t="shared" si="25"/>
        <v>0</v>
      </c>
      <c r="AG130" t="b">
        <f t="shared" si="26"/>
        <v>0</v>
      </c>
      <c r="AH130" t="b">
        <f t="shared" si="27"/>
        <v>0</v>
      </c>
    </row>
    <row r="131" spans="1:34" x14ac:dyDescent="0.2">
      <c r="A131" s="12" t="s">
        <v>200</v>
      </c>
      <c r="B131" s="12" t="s">
        <v>201</v>
      </c>
      <c r="C131" s="13" t="s">
        <v>53</v>
      </c>
      <c r="D131" s="18"/>
      <c r="E131" s="18">
        <v>1</v>
      </c>
      <c r="F131" s="18">
        <v>0</v>
      </c>
      <c r="G131" s="18">
        <v>0</v>
      </c>
      <c r="H131" s="18">
        <v>2</v>
      </c>
      <c r="I131" s="18">
        <v>0</v>
      </c>
      <c r="J131" s="19">
        <v>2</v>
      </c>
      <c r="K131" s="18">
        <v>0</v>
      </c>
      <c r="L131" s="18"/>
      <c r="M131" s="18">
        <v>0</v>
      </c>
      <c r="N131" s="18">
        <v>0</v>
      </c>
      <c r="O131" s="18"/>
      <c r="P131" s="18">
        <v>0</v>
      </c>
      <c r="Q131" s="17">
        <v>2</v>
      </c>
      <c r="R131">
        <v>1</v>
      </c>
      <c r="S131">
        <v>7</v>
      </c>
      <c r="T131">
        <v>3</v>
      </c>
      <c r="U131" s="14">
        <f t="shared" si="14"/>
        <v>13</v>
      </c>
      <c r="V131" t="b">
        <f t="shared" si="15"/>
        <v>1</v>
      </c>
      <c r="W131" t="b">
        <f t="shared" si="16"/>
        <v>1</v>
      </c>
      <c r="X131" t="b">
        <f t="shared" si="17"/>
        <v>0</v>
      </c>
      <c r="Y131" t="b">
        <f t="shared" si="18"/>
        <v>0</v>
      </c>
      <c r="Z131" t="b">
        <f t="shared" si="19"/>
        <v>0</v>
      </c>
      <c r="AA131" t="b">
        <f t="shared" si="20"/>
        <v>0</v>
      </c>
      <c r="AB131" t="b">
        <f t="shared" si="21"/>
        <v>0</v>
      </c>
      <c r="AC131" t="b">
        <f t="shared" si="22"/>
        <v>0</v>
      </c>
      <c r="AD131" t="b">
        <f t="shared" si="23"/>
        <v>0</v>
      </c>
      <c r="AE131" t="b">
        <f t="shared" si="24"/>
        <v>0</v>
      </c>
      <c r="AF131" t="b">
        <f t="shared" si="25"/>
        <v>0</v>
      </c>
      <c r="AG131" t="b">
        <f t="shared" si="26"/>
        <v>0</v>
      </c>
      <c r="AH131" t="b">
        <f t="shared" si="27"/>
        <v>0</v>
      </c>
    </row>
    <row r="132" spans="1:34" x14ac:dyDescent="0.2">
      <c r="A132" s="12" t="s">
        <v>202</v>
      </c>
      <c r="B132" s="12" t="s">
        <v>201</v>
      </c>
      <c r="C132" s="13" t="s">
        <v>53</v>
      </c>
      <c r="D132" s="18">
        <v>0</v>
      </c>
      <c r="E132" s="18">
        <v>2</v>
      </c>
      <c r="F132" s="18">
        <v>0</v>
      </c>
      <c r="G132" s="18">
        <v>2</v>
      </c>
      <c r="H132" s="18">
        <v>2</v>
      </c>
      <c r="I132" s="18">
        <v>0</v>
      </c>
      <c r="J132" s="19">
        <v>1</v>
      </c>
      <c r="K132" s="18">
        <v>0</v>
      </c>
      <c r="L132" s="18">
        <v>1</v>
      </c>
      <c r="M132" s="18">
        <v>0</v>
      </c>
      <c r="N132" s="18">
        <v>1</v>
      </c>
      <c r="O132" s="18">
        <v>1</v>
      </c>
      <c r="P132" s="18">
        <v>0</v>
      </c>
      <c r="Q132" s="17">
        <v>3</v>
      </c>
      <c r="R132">
        <v>4</v>
      </c>
      <c r="S132">
        <v>6</v>
      </c>
      <c r="T132">
        <v>0</v>
      </c>
      <c r="U132" s="14">
        <f t="shared" ref="U132:U195" si="28">SUM(Q132:T132)</f>
        <v>13</v>
      </c>
      <c r="V132" t="b">
        <f t="shared" ref="V132:V195" si="29">Q132&gt;=1</f>
        <v>1</v>
      </c>
      <c r="W132" t="b">
        <f t="shared" ref="W132:W195" si="30">Q132&gt;=2</f>
        <v>1</v>
      </c>
      <c r="X132" t="b">
        <f t="shared" ref="X132:X195" si="31">Q132&gt;=3</f>
        <v>1</v>
      </c>
      <c r="Y132" t="b">
        <f t="shared" ref="Y132:Y195" si="32">Q132&gt;=4</f>
        <v>0</v>
      </c>
      <c r="Z132" t="b">
        <f t="shared" ref="Z132:Z195" si="33">Q132&gt;=5</f>
        <v>0</v>
      </c>
      <c r="AA132" t="b">
        <f t="shared" ref="AA132:AA195" si="34">Q132&gt;=6</f>
        <v>0</v>
      </c>
      <c r="AB132" t="b">
        <f t="shared" ref="AB132:AB195" si="35">Q132&gt;=7</f>
        <v>0</v>
      </c>
      <c r="AC132" t="b">
        <f t="shared" ref="AC132:AC195" si="36">Q132&gt;=8</f>
        <v>0</v>
      </c>
      <c r="AD132" t="b">
        <f t="shared" ref="AD132:AD195" si="37">Q132&gt;=9</f>
        <v>0</v>
      </c>
      <c r="AE132" t="b">
        <f t="shared" ref="AE132:AE195" si="38">Q132&gt;=10</f>
        <v>0</v>
      </c>
      <c r="AF132" t="b">
        <f t="shared" ref="AF132:AF195" si="39">Q132&gt;=11</f>
        <v>0</v>
      </c>
      <c r="AG132" t="b">
        <f t="shared" ref="AG132:AG195" si="40">Q132&gt;=12</f>
        <v>0</v>
      </c>
      <c r="AH132" t="b">
        <f t="shared" ref="AH132:AH195" si="41">Q132&gt;=13</f>
        <v>0</v>
      </c>
    </row>
    <row r="133" spans="1:34" x14ac:dyDescent="0.2">
      <c r="A133" s="12" t="s">
        <v>203</v>
      </c>
      <c r="B133" s="12" t="s">
        <v>201</v>
      </c>
      <c r="C133" s="13" t="s">
        <v>53</v>
      </c>
      <c r="D133" s="18">
        <v>2</v>
      </c>
      <c r="E133" s="18">
        <v>2</v>
      </c>
      <c r="F133" s="18">
        <v>2</v>
      </c>
      <c r="G133" s="18">
        <v>2</v>
      </c>
      <c r="H133" s="18">
        <v>1</v>
      </c>
      <c r="I133" s="18">
        <v>0</v>
      </c>
      <c r="J133" s="19">
        <v>2</v>
      </c>
      <c r="K133" s="18">
        <v>2</v>
      </c>
      <c r="L133" s="18">
        <v>1</v>
      </c>
      <c r="M133" s="18">
        <v>2</v>
      </c>
      <c r="N133" s="18">
        <v>2</v>
      </c>
      <c r="O133" s="18">
        <v>2</v>
      </c>
      <c r="P133" s="18">
        <v>0</v>
      </c>
      <c r="Q133" s="17">
        <v>9</v>
      </c>
      <c r="R133">
        <v>2</v>
      </c>
      <c r="S133">
        <v>2</v>
      </c>
      <c r="T133">
        <v>0</v>
      </c>
      <c r="U133" s="14">
        <f t="shared" si="28"/>
        <v>13</v>
      </c>
      <c r="V133" t="b">
        <f t="shared" si="29"/>
        <v>1</v>
      </c>
      <c r="W133" t="b">
        <f t="shared" si="30"/>
        <v>1</v>
      </c>
      <c r="X133" t="b">
        <f t="shared" si="31"/>
        <v>1</v>
      </c>
      <c r="Y133" t="b">
        <f t="shared" si="32"/>
        <v>1</v>
      </c>
      <c r="Z133" t="b">
        <f t="shared" si="33"/>
        <v>1</v>
      </c>
      <c r="AA133" t="b">
        <f t="shared" si="34"/>
        <v>1</v>
      </c>
      <c r="AB133" t="b">
        <f t="shared" si="35"/>
        <v>1</v>
      </c>
      <c r="AC133" t="b">
        <f t="shared" si="36"/>
        <v>1</v>
      </c>
      <c r="AD133" t="b">
        <f t="shared" si="37"/>
        <v>1</v>
      </c>
      <c r="AE133" t="b">
        <f t="shared" si="38"/>
        <v>0</v>
      </c>
      <c r="AF133" t="b">
        <f t="shared" si="39"/>
        <v>0</v>
      </c>
      <c r="AG133" t="b">
        <f t="shared" si="40"/>
        <v>0</v>
      </c>
      <c r="AH133" t="b">
        <f t="shared" si="41"/>
        <v>0</v>
      </c>
    </row>
    <row r="134" spans="1:34" x14ac:dyDescent="0.2">
      <c r="A134" s="12" t="s">
        <v>204</v>
      </c>
      <c r="B134" s="12" t="s">
        <v>201</v>
      </c>
      <c r="C134" s="13" t="s">
        <v>53</v>
      </c>
      <c r="D134" s="18">
        <v>1</v>
      </c>
      <c r="E134" s="18">
        <v>2</v>
      </c>
      <c r="F134" s="18">
        <v>2</v>
      </c>
      <c r="G134" s="18">
        <v>2</v>
      </c>
      <c r="H134" s="18">
        <v>1</v>
      </c>
      <c r="I134" s="18">
        <v>0</v>
      </c>
      <c r="J134" s="19">
        <v>2</v>
      </c>
      <c r="K134" s="18">
        <v>2</v>
      </c>
      <c r="L134" s="18">
        <v>1</v>
      </c>
      <c r="M134" s="18">
        <v>2</v>
      </c>
      <c r="N134" s="18">
        <v>1</v>
      </c>
      <c r="O134" s="18">
        <v>2</v>
      </c>
      <c r="P134" s="18">
        <v>2</v>
      </c>
      <c r="Q134" s="17">
        <v>8</v>
      </c>
      <c r="R134">
        <v>4</v>
      </c>
      <c r="S134">
        <v>1</v>
      </c>
      <c r="T134">
        <v>0</v>
      </c>
      <c r="U134" s="14">
        <f t="shared" si="28"/>
        <v>13</v>
      </c>
      <c r="V134" t="b">
        <f t="shared" si="29"/>
        <v>1</v>
      </c>
      <c r="W134" t="b">
        <f t="shared" si="30"/>
        <v>1</v>
      </c>
      <c r="X134" t="b">
        <f t="shared" si="31"/>
        <v>1</v>
      </c>
      <c r="Y134" t="b">
        <f t="shared" si="32"/>
        <v>1</v>
      </c>
      <c r="Z134" t="b">
        <f t="shared" si="33"/>
        <v>1</v>
      </c>
      <c r="AA134" t="b">
        <f t="shared" si="34"/>
        <v>1</v>
      </c>
      <c r="AB134" t="b">
        <f t="shared" si="35"/>
        <v>1</v>
      </c>
      <c r="AC134" t="b">
        <f t="shared" si="36"/>
        <v>1</v>
      </c>
      <c r="AD134" t="b">
        <f t="shared" si="37"/>
        <v>0</v>
      </c>
      <c r="AE134" t="b">
        <f t="shared" si="38"/>
        <v>0</v>
      </c>
      <c r="AF134" t="b">
        <f t="shared" si="39"/>
        <v>0</v>
      </c>
      <c r="AG134" t="b">
        <f t="shared" si="40"/>
        <v>0</v>
      </c>
      <c r="AH134" t="b">
        <f t="shared" si="41"/>
        <v>0</v>
      </c>
    </row>
    <row r="135" spans="1:34" x14ac:dyDescent="0.2">
      <c r="A135" s="12" t="s">
        <v>205</v>
      </c>
      <c r="B135" s="12" t="s">
        <v>206</v>
      </c>
      <c r="C135" s="13" t="s">
        <v>206</v>
      </c>
      <c r="D135" s="18">
        <v>2</v>
      </c>
      <c r="E135" s="18">
        <v>2</v>
      </c>
      <c r="F135" s="18">
        <v>2</v>
      </c>
      <c r="G135" s="18">
        <v>2</v>
      </c>
      <c r="H135" s="18">
        <v>2</v>
      </c>
      <c r="I135" s="18">
        <v>2</v>
      </c>
      <c r="J135" s="19">
        <v>2</v>
      </c>
      <c r="K135" s="18">
        <v>1</v>
      </c>
      <c r="L135" s="18">
        <v>1</v>
      </c>
      <c r="M135" s="18">
        <v>1</v>
      </c>
      <c r="N135" s="18">
        <v>1</v>
      </c>
      <c r="O135" s="18">
        <v>2</v>
      </c>
      <c r="P135" s="18">
        <v>2</v>
      </c>
      <c r="Q135" s="17">
        <v>9</v>
      </c>
      <c r="R135">
        <v>4</v>
      </c>
      <c r="S135">
        <v>0</v>
      </c>
      <c r="T135">
        <v>0</v>
      </c>
      <c r="U135" s="14">
        <f t="shared" si="28"/>
        <v>13</v>
      </c>
      <c r="V135" t="b">
        <f t="shared" si="29"/>
        <v>1</v>
      </c>
      <c r="W135" t="b">
        <f t="shared" si="30"/>
        <v>1</v>
      </c>
      <c r="X135" t="b">
        <f t="shared" si="31"/>
        <v>1</v>
      </c>
      <c r="Y135" t="b">
        <f t="shared" si="32"/>
        <v>1</v>
      </c>
      <c r="Z135" t="b">
        <f t="shared" si="33"/>
        <v>1</v>
      </c>
      <c r="AA135" t="b">
        <f t="shared" si="34"/>
        <v>1</v>
      </c>
      <c r="AB135" t="b">
        <f t="shared" si="35"/>
        <v>1</v>
      </c>
      <c r="AC135" t="b">
        <f t="shared" si="36"/>
        <v>1</v>
      </c>
      <c r="AD135" t="b">
        <f t="shared" si="37"/>
        <v>1</v>
      </c>
      <c r="AE135" t="b">
        <f t="shared" si="38"/>
        <v>0</v>
      </c>
      <c r="AF135" t="b">
        <f t="shared" si="39"/>
        <v>0</v>
      </c>
      <c r="AG135" t="b">
        <f t="shared" si="40"/>
        <v>0</v>
      </c>
      <c r="AH135" t="b">
        <f t="shared" si="41"/>
        <v>0</v>
      </c>
    </row>
    <row r="136" spans="1:34" x14ac:dyDescent="0.2">
      <c r="A136" s="12" t="s">
        <v>207</v>
      </c>
      <c r="B136" s="12" t="s">
        <v>206</v>
      </c>
      <c r="C136" s="13" t="s">
        <v>206</v>
      </c>
      <c r="D136" s="18">
        <v>2</v>
      </c>
      <c r="E136" s="18">
        <v>0</v>
      </c>
      <c r="F136" s="18">
        <v>2</v>
      </c>
      <c r="G136" s="18">
        <v>2</v>
      </c>
      <c r="H136" s="18">
        <v>2</v>
      </c>
      <c r="I136" s="18">
        <v>2</v>
      </c>
      <c r="J136" s="19">
        <v>1</v>
      </c>
      <c r="K136" s="18">
        <v>1</v>
      </c>
      <c r="L136" s="18">
        <v>1</v>
      </c>
      <c r="M136" s="18">
        <v>1</v>
      </c>
      <c r="N136" s="18">
        <v>1</v>
      </c>
      <c r="O136" s="18">
        <v>2</v>
      </c>
      <c r="P136" s="18">
        <v>2</v>
      </c>
      <c r="Q136" s="17">
        <v>7</v>
      </c>
      <c r="R136">
        <v>5</v>
      </c>
      <c r="S136">
        <v>1</v>
      </c>
      <c r="T136">
        <v>0</v>
      </c>
      <c r="U136" s="14">
        <f t="shared" si="28"/>
        <v>13</v>
      </c>
      <c r="V136" t="b">
        <f t="shared" si="29"/>
        <v>1</v>
      </c>
      <c r="W136" t="b">
        <f t="shared" si="30"/>
        <v>1</v>
      </c>
      <c r="X136" t="b">
        <f t="shared" si="31"/>
        <v>1</v>
      </c>
      <c r="Y136" t="b">
        <f t="shared" si="32"/>
        <v>1</v>
      </c>
      <c r="Z136" t="b">
        <f t="shared" si="33"/>
        <v>1</v>
      </c>
      <c r="AA136" t="b">
        <f t="shared" si="34"/>
        <v>1</v>
      </c>
      <c r="AB136" t="b">
        <f t="shared" si="35"/>
        <v>1</v>
      </c>
      <c r="AC136" t="b">
        <f t="shared" si="36"/>
        <v>0</v>
      </c>
      <c r="AD136" t="b">
        <f t="shared" si="37"/>
        <v>0</v>
      </c>
      <c r="AE136" t="b">
        <f t="shared" si="38"/>
        <v>0</v>
      </c>
      <c r="AF136" t="b">
        <f t="shared" si="39"/>
        <v>0</v>
      </c>
      <c r="AG136" t="b">
        <f t="shared" si="40"/>
        <v>0</v>
      </c>
      <c r="AH136" t="b">
        <f t="shared" si="41"/>
        <v>0</v>
      </c>
    </row>
    <row r="137" spans="1:34" x14ac:dyDescent="0.2">
      <c r="A137" s="12" t="s">
        <v>208</v>
      </c>
      <c r="B137" s="12" t="s">
        <v>206</v>
      </c>
      <c r="C137" s="13" t="s">
        <v>206</v>
      </c>
      <c r="D137" s="18">
        <v>2</v>
      </c>
      <c r="E137" s="18">
        <v>0</v>
      </c>
      <c r="F137" s="18">
        <v>2</v>
      </c>
      <c r="G137" s="18">
        <v>2</v>
      </c>
      <c r="H137" s="18">
        <v>2</v>
      </c>
      <c r="I137" s="18">
        <v>2</v>
      </c>
      <c r="J137" s="19">
        <v>2</v>
      </c>
      <c r="K137" s="18">
        <v>2</v>
      </c>
      <c r="L137" s="18">
        <v>1</v>
      </c>
      <c r="M137" s="18">
        <v>2</v>
      </c>
      <c r="N137" s="18">
        <v>2</v>
      </c>
      <c r="O137" s="18">
        <v>2</v>
      </c>
      <c r="P137" s="18">
        <v>2</v>
      </c>
      <c r="Q137" s="17">
        <v>11</v>
      </c>
      <c r="R137">
        <v>1</v>
      </c>
      <c r="S137">
        <v>1</v>
      </c>
      <c r="T137">
        <v>0</v>
      </c>
      <c r="U137" s="14">
        <f t="shared" si="28"/>
        <v>13</v>
      </c>
      <c r="V137" t="b">
        <f t="shared" si="29"/>
        <v>1</v>
      </c>
      <c r="W137" t="b">
        <f t="shared" si="30"/>
        <v>1</v>
      </c>
      <c r="X137" t="b">
        <f t="shared" si="31"/>
        <v>1</v>
      </c>
      <c r="Y137" t="b">
        <f t="shared" si="32"/>
        <v>1</v>
      </c>
      <c r="Z137" t="b">
        <f t="shared" si="33"/>
        <v>1</v>
      </c>
      <c r="AA137" t="b">
        <f t="shared" si="34"/>
        <v>1</v>
      </c>
      <c r="AB137" t="b">
        <f t="shared" si="35"/>
        <v>1</v>
      </c>
      <c r="AC137" t="b">
        <f t="shared" si="36"/>
        <v>1</v>
      </c>
      <c r="AD137" t="b">
        <f t="shared" si="37"/>
        <v>1</v>
      </c>
      <c r="AE137" t="b">
        <f t="shared" si="38"/>
        <v>1</v>
      </c>
      <c r="AF137" t="b">
        <f t="shared" si="39"/>
        <v>1</v>
      </c>
      <c r="AG137" t="b">
        <f t="shared" si="40"/>
        <v>0</v>
      </c>
      <c r="AH137" t="b">
        <f t="shared" si="41"/>
        <v>0</v>
      </c>
    </row>
    <row r="138" spans="1:34" x14ac:dyDescent="0.2">
      <c r="A138" s="12" t="s">
        <v>209</v>
      </c>
      <c r="B138" s="12" t="s">
        <v>101</v>
      </c>
      <c r="C138" s="13" t="s">
        <v>101</v>
      </c>
      <c r="D138" s="18">
        <v>2</v>
      </c>
      <c r="E138" s="18">
        <v>0</v>
      </c>
      <c r="F138" s="18">
        <v>2</v>
      </c>
      <c r="G138" s="18">
        <v>2</v>
      </c>
      <c r="H138" s="18">
        <v>2</v>
      </c>
      <c r="I138" s="18">
        <v>2</v>
      </c>
      <c r="J138" s="19">
        <v>2</v>
      </c>
      <c r="K138" s="18">
        <v>2</v>
      </c>
      <c r="L138" s="18">
        <v>1</v>
      </c>
      <c r="M138" s="18">
        <v>2</v>
      </c>
      <c r="N138" s="18">
        <v>2</v>
      </c>
      <c r="O138" s="18">
        <v>2</v>
      </c>
      <c r="P138" s="18">
        <v>2</v>
      </c>
      <c r="Q138" s="17">
        <v>11</v>
      </c>
      <c r="R138">
        <v>1</v>
      </c>
      <c r="S138">
        <v>1</v>
      </c>
      <c r="T138">
        <v>0</v>
      </c>
      <c r="U138" s="14">
        <f t="shared" si="28"/>
        <v>13</v>
      </c>
      <c r="V138" t="b">
        <f t="shared" si="29"/>
        <v>1</v>
      </c>
      <c r="W138" t="b">
        <f t="shared" si="30"/>
        <v>1</v>
      </c>
      <c r="X138" t="b">
        <f t="shared" si="31"/>
        <v>1</v>
      </c>
      <c r="Y138" t="b">
        <f t="shared" si="32"/>
        <v>1</v>
      </c>
      <c r="Z138" t="b">
        <f t="shared" si="33"/>
        <v>1</v>
      </c>
      <c r="AA138" t="b">
        <f t="shared" si="34"/>
        <v>1</v>
      </c>
      <c r="AB138" t="b">
        <f t="shared" si="35"/>
        <v>1</v>
      </c>
      <c r="AC138" t="b">
        <f t="shared" si="36"/>
        <v>1</v>
      </c>
      <c r="AD138" t="b">
        <f t="shared" si="37"/>
        <v>1</v>
      </c>
      <c r="AE138" t="b">
        <f t="shared" si="38"/>
        <v>1</v>
      </c>
      <c r="AF138" t="b">
        <f t="shared" si="39"/>
        <v>1</v>
      </c>
      <c r="AG138" t="b">
        <f t="shared" si="40"/>
        <v>0</v>
      </c>
      <c r="AH138" t="b">
        <f t="shared" si="41"/>
        <v>0</v>
      </c>
    </row>
    <row r="139" spans="1:34" x14ac:dyDescent="0.2">
      <c r="A139" s="12" t="s">
        <v>210</v>
      </c>
      <c r="B139" s="12" t="s">
        <v>101</v>
      </c>
      <c r="C139" s="13" t="s">
        <v>101</v>
      </c>
      <c r="D139" s="18">
        <v>2</v>
      </c>
      <c r="E139" s="18">
        <v>2</v>
      </c>
      <c r="F139" s="18">
        <v>2</v>
      </c>
      <c r="G139" s="18">
        <v>2</v>
      </c>
      <c r="H139" s="18">
        <v>2</v>
      </c>
      <c r="I139" s="18">
        <v>2</v>
      </c>
      <c r="J139" s="19">
        <v>2</v>
      </c>
      <c r="K139" s="18">
        <v>2</v>
      </c>
      <c r="L139" s="18">
        <v>1</v>
      </c>
      <c r="M139" s="18">
        <v>2</v>
      </c>
      <c r="N139" s="18">
        <v>2</v>
      </c>
      <c r="O139" s="18">
        <v>2</v>
      </c>
      <c r="P139" s="18">
        <v>2</v>
      </c>
      <c r="Q139" s="17">
        <v>12</v>
      </c>
      <c r="R139">
        <v>1</v>
      </c>
      <c r="S139">
        <v>0</v>
      </c>
      <c r="T139">
        <v>0</v>
      </c>
      <c r="U139" s="14">
        <f t="shared" si="28"/>
        <v>13</v>
      </c>
      <c r="V139" t="b">
        <f t="shared" si="29"/>
        <v>1</v>
      </c>
      <c r="W139" t="b">
        <f t="shared" si="30"/>
        <v>1</v>
      </c>
      <c r="X139" t="b">
        <f t="shared" si="31"/>
        <v>1</v>
      </c>
      <c r="Y139" t="b">
        <f t="shared" si="32"/>
        <v>1</v>
      </c>
      <c r="Z139" t="b">
        <f t="shared" si="33"/>
        <v>1</v>
      </c>
      <c r="AA139" t="b">
        <f t="shared" si="34"/>
        <v>1</v>
      </c>
      <c r="AB139" t="b">
        <f t="shared" si="35"/>
        <v>1</v>
      </c>
      <c r="AC139" t="b">
        <f t="shared" si="36"/>
        <v>1</v>
      </c>
      <c r="AD139" t="b">
        <f t="shared" si="37"/>
        <v>1</v>
      </c>
      <c r="AE139" t="b">
        <f t="shared" si="38"/>
        <v>1</v>
      </c>
      <c r="AF139" t="b">
        <f t="shared" si="39"/>
        <v>1</v>
      </c>
      <c r="AG139" t="b">
        <f t="shared" si="40"/>
        <v>1</v>
      </c>
      <c r="AH139" t="b">
        <f t="shared" si="41"/>
        <v>0</v>
      </c>
    </row>
    <row r="140" spans="1:34" x14ac:dyDescent="0.2">
      <c r="A140" s="12" t="s">
        <v>211</v>
      </c>
      <c r="B140" s="12" t="s">
        <v>101</v>
      </c>
      <c r="C140" s="13" t="s">
        <v>101</v>
      </c>
      <c r="D140" s="18">
        <v>0</v>
      </c>
      <c r="E140" s="18">
        <v>1</v>
      </c>
      <c r="F140" s="18">
        <v>2</v>
      </c>
      <c r="G140" s="18">
        <v>2</v>
      </c>
      <c r="H140" s="18">
        <v>1</v>
      </c>
      <c r="I140" s="18">
        <v>0</v>
      </c>
      <c r="J140" s="19">
        <v>2</v>
      </c>
      <c r="K140" s="18">
        <v>2</v>
      </c>
      <c r="L140" s="18">
        <v>2</v>
      </c>
      <c r="M140" s="18">
        <v>0</v>
      </c>
      <c r="N140" s="18">
        <v>0</v>
      </c>
      <c r="O140" s="18">
        <v>2</v>
      </c>
      <c r="P140" s="18">
        <v>0</v>
      </c>
      <c r="Q140" s="17">
        <v>6</v>
      </c>
      <c r="R140">
        <v>2</v>
      </c>
      <c r="S140">
        <v>5</v>
      </c>
      <c r="T140">
        <v>0</v>
      </c>
      <c r="U140" s="14">
        <f t="shared" si="28"/>
        <v>13</v>
      </c>
      <c r="V140" t="b">
        <f t="shared" si="29"/>
        <v>1</v>
      </c>
      <c r="W140" t="b">
        <f t="shared" si="30"/>
        <v>1</v>
      </c>
      <c r="X140" t="b">
        <f t="shared" si="31"/>
        <v>1</v>
      </c>
      <c r="Y140" t="b">
        <f t="shared" si="32"/>
        <v>1</v>
      </c>
      <c r="Z140" t="b">
        <f t="shared" si="33"/>
        <v>1</v>
      </c>
      <c r="AA140" t="b">
        <f t="shared" si="34"/>
        <v>1</v>
      </c>
      <c r="AB140" t="b">
        <f t="shared" si="35"/>
        <v>0</v>
      </c>
      <c r="AC140" t="b">
        <f t="shared" si="36"/>
        <v>0</v>
      </c>
      <c r="AD140" t="b">
        <f t="shared" si="37"/>
        <v>0</v>
      </c>
      <c r="AE140" t="b">
        <f t="shared" si="38"/>
        <v>0</v>
      </c>
      <c r="AF140" t="b">
        <f t="shared" si="39"/>
        <v>0</v>
      </c>
      <c r="AG140" t="b">
        <f t="shared" si="40"/>
        <v>0</v>
      </c>
      <c r="AH140" t="b">
        <f t="shared" si="41"/>
        <v>0</v>
      </c>
    </row>
    <row r="141" spans="1:34" x14ac:dyDescent="0.2">
      <c r="A141" s="12" t="s">
        <v>212</v>
      </c>
      <c r="B141" s="12" t="s">
        <v>101</v>
      </c>
      <c r="C141" s="13" t="s">
        <v>101</v>
      </c>
      <c r="D141" s="18">
        <v>0</v>
      </c>
      <c r="E141" s="18">
        <v>1</v>
      </c>
      <c r="F141" s="18">
        <v>2</v>
      </c>
      <c r="G141" s="18">
        <v>2</v>
      </c>
      <c r="H141" s="18">
        <v>0</v>
      </c>
      <c r="I141" s="18">
        <v>0</v>
      </c>
      <c r="J141" s="19">
        <v>1</v>
      </c>
      <c r="K141" s="18">
        <v>2</v>
      </c>
      <c r="L141" s="18"/>
      <c r="M141" s="18">
        <v>0</v>
      </c>
      <c r="N141" s="18">
        <v>0</v>
      </c>
      <c r="O141" s="18">
        <v>2</v>
      </c>
      <c r="P141" s="18">
        <v>0</v>
      </c>
      <c r="Q141" s="17">
        <v>4</v>
      </c>
      <c r="R141">
        <v>2</v>
      </c>
      <c r="S141">
        <v>6</v>
      </c>
      <c r="T141">
        <v>1</v>
      </c>
      <c r="U141" s="14">
        <f t="shared" si="28"/>
        <v>13</v>
      </c>
      <c r="V141" t="b">
        <f t="shared" si="29"/>
        <v>1</v>
      </c>
      <c r="W141" t="b">
        <f t="shared" si="30"/>
        <v>1</v>
      </c>
      <c r="X141" t="b">
        <f t="shared" si="31"/>
        <v>1</v>
      </c>
      <c r="Y141" t="b">
        <f t="shared" si="32"/>
        <v>1</v>
      </c>
      <c r="Z141" t="b">
        <f t="shared" si="33"/>
        <v>0</v>
      </c>
      <c r="AA141" t="b">
        <f t="shared" si="34"/>
        <v>0</v>
      </c>
      <c r="AB141" t="b">
        <f t="shared" si="35"/>
        <v>0</v>
      </c>
      <c r="AC141" t="b">
        <f t="shared" si="36"/>
        <v>0</v>
      </c>
      <c r="AD141" t="b">
        <f t="shared" si="37"/>
        <v>0</v>
      </c>
      <c r="AE141" t="b">
        <f t="shared" si="38"/>
        <v>0</v>
      </c>
      <c r="AF141" t="b">
        <f t="shared" si="39"/>
        <v>0</v>
      </c>
      <c r="AG141" t="b">
        <f t="shared" si="40"/>
        <v>0</v>
      </c>
      <c r="AH141" t="b">
        <f t="shared" si="41"/>
        <v>0</v>
      </c>
    </row>
    <row r="142" spans="1:34" x14ac:dyDescent="0.2">
      <c r="A142" s="12" t="s">
        <v>213</v>
      </c>
      <c r="B142" s="12" t="s">
        <v>214</v>
      </c>
      <c r="C142" s="13" t="s">
        <v>46</v>
      </c>
      <c r="D142" s="18">
        <v>1</v>
      </c>
      <c r="E142" s="18">
        <v>1</v>
      </c>
      <c r="F142" s="18">
        <v>2</v>
      </c>
      <c r="G142" s="18">
        <v>2</v>
      </c>
      <c r="H142" s="18">
        <v>1</v>
      </c>
      <c r="I142" s="18">
        <v>0</v>
      </c>
      <c r="J142" s="19">
        <v>0</v>
      </c>
      <c r="K142" s="18">
        <v>1</v>
      </c>
      <c r="L142" s="18">
        <v>1</v>
      </c>
      <c r="M142" s="18">
        <v>1</v>
      </c>
      <c r="N142" s="18">
        <v>1</v>
      </c>
      <c r="O142" s="18">
        <v>1</v>
      </c>
      <c r="P142" s="18">
        <v>0</v>
      </c>
      <c r="Q142" s="17">
        <v>2</v>
      </c>
      <c r="R142">
        <v>8</v>
      </c>
      <c r="S142">
        <v>3</v>
      </c>
      <c r="T142">
        <v>0</v>
      </c>
      <c r="U142" s="14">
        <f t="shared" si="28"/>
        <v>13</v>
      </c>
      <c r="V142" t="b">
        <f t="shared" si="29"/>
        <v>1</v>
      </c>
      <c r="W142" t="b">
        <f t="shared" si="30"/>
        <v>1</v>
      </c>
      <c r="X142" t="b">
        <f t="shared" si="31"/>
        <v>0</v>
      </c>
      <c r="Y142" t="b">
        <f t="shared" si="32"/>
        <v>0</v>
      </c>
      <c r="Z142" t="b">
        <f t="shared" si="33"/>
        <v>0</v>
      </c>
      <c r="AA142" t="b">
        <f t="shared" si="34"/>
        <v>0</v>
      </c>
      <c r="AB142" t="b">
        <f t="shared" si="35"/>
        <v>0</v>
      </c>
      <c r="AC142" t="b">
        <f t="shared" si="36"/>
        <v>0</v>
      </c>
      <c r="AD142" t="b">
        <f t="shared" si="37"/>
        <v>0</v>
      </c>
      <c r="AE142" t="b">
        <f t="shared" si="38"/>
        <v>0</v>
      </c>
      <c r="AF142" t="b">
        <f t="shared" si="39"/>
        <v>0</v>
      </c>
      <c r="AG142" t="b">
        <f t="shared" si="40"/>
        <v>0</v>
      </c>
      <c r="AH142" t="b">
        <f t="shared" si="41"/>
        <v>0</v>
      </c>
    </row>
    <row r="143" spans="1:34" x14ac:dyDescent="0.2">
      <c r="A143" s="12" t="s">
        <v>215</v>
      </c>
      <c r="B143" s="12" t="s">
        <v>216</v>
      </c>
      <c r="C143" s="13" t="s">
        <v>216</v>
      </c>
      <c r="D143" s="18"/>
      <c r="E143" s="18">
        <v>1</v>
      </c>
      <c r="F143" s="18">
        <v>2</v>
      </c>
      <c r="G143" s="18">
        <v>1</v>
      </c>
      <c r="H143" s="18">
        <v>2</v>
      </c>
      <c r="I143" s="18">
        <v>0</v>
      </c>
      <c r="J143" s="19">
        <v>1</v>
      </c>
      <c r="K143" s="18">
        <v>2</v>
      </c>
      <c r="L143" s="18"/>
      <c r="M143" s="18">
        <v>0</v>
      </c>
      <c r="N143" s="18">
        <v>2</v>
      </c>
      <c r="O143" s="18">
        <v>2</v>
      </c>
      <c r="P143" s="18">
        <v>0</v>
      </c>
      <c r="Q143" s="17">
        <v>5</v>
      </c>
      <c r="R143">
        <v>3</v>
      </c>
      <c r="S143">
        <v>3</v>
      </c>
      <c r="T143">
        <v>2</v>
      </c>
      <c r="U143" s="14">
        <f t="shared" si="28"/>
        <v>13</v>
      </c>
      <c r="V143" t="b">
        <f t="shared" si="29"/>
        <v>1</v>
      </c>
      <c r="W143" t="b">
        <f t="shared" si="30"/>
        <v>1</v>
      </c>
      <c r="X143" t="b">
        <f t="shared" si="31"/>
        <v>1</v>
      </c>
      <c r="Y143" t="b">
        <f t="shared" si="32"/>
        <v>1</v>
      </c>
      <c r="Z143" t="b">
        <f t="shared" si="33"/>
        <v>1</v>
      </c>
      <c r="AA143" t="b">
        <f t="shared" si="34"/>
        <v>0</v>
      </c>
      <c r="AB143" t="b">
        <f t="shared" si="35"/>
        <v>0</v>
      </c>
      <c r="AC143" t="b">
        <f t="shared" si="36"/>
        <v>0</v>
      </c>
      <c r="AD143" t="b">
        <f t="shared" si="37"/>
        <v>0</v>
      </c>
      <c r="AE143" t="b">
        <f t="shared" si="38"/>
        <v>0</v>
      </c>
      <c r="AF143" t="b">
        <f t="shared" si="39"/>
        <v>0</v>
      </c>
      <c r="AG143" t="b">
        <f t="shared" si="40"/>
        <v>0</v>
      </c>
      <c r="AH143" t="b">
        <f t="shared" si="41"/>
        <v>0</v>
      </c>
    </row>
    <row r="144" spans="1:34" x14ac:dyDescent="0.2">
      <c r="A144" s="12" t="s">
        <v>101</v>
      </c>
      <c r="B144" s="12" t="s">
        <v>109</v>
      </c>
      <c r="C144" s="13" t="s">
        <v>110</v>
      </c>
      <c r="D144" s="18">
        <v>0</v>
      </c>
      <c r="E144" s="18">
        <v>1</v>
      </c>
      <c r="F144" s="18">
        <v>2</v>
      </c>
      <c r="G144" s="18">
        <v>2</v>
      </c>
      <c r="H144" s="18">
        <v>0</v>
      </c>
      <c r="I144" s="18">
        <v>2</v>
      </c>
      <c r="J144" s="19">
        <v>2</v>
      </c>
      <c r="K144" s="18">
        <v>2</v>
      </c>
      <c r="L144" s="18">
        <v>1</v>
      </c>
      <c r="M144" s="18">
        <v>1</v>
      </c>
      <c r="N144" s="18"/>
      <c r="O144" s="18">
        <v>2</v>
      </c>
      <c r="P144" s="18">
        <v>1</v>
      </c>
      <c r="Q144" s="17">
        <v>6</v>
      </c>
      <c r="R144">
        <v>4</v>
      </c>
      <c r="S144">
        <v>2</v>
      </c>
      <c r="T144">
        <v>1</v>
      </c>
      <c r="U144" s="14">
        <f t="shared" si="28"/>
        <v>13</v>
      </c>
      <c r="V144" t="b">
        <f t="shared" si="29"/>
        <v>1</v>
      </c>
      <c r="W144" t="b">
        <f t="shared" si="30"/>
        <v>1</v>
      </c>
      <c r="X144" t="b">
        <f t="shared" si="31"/>
        <v>1</v>
      </c>
      <c r="Y144" t="b">
        <f t="shared" si="32"/>
        <v>1</v>
      </c>
      <c r="Z144" t="b">
        <f t="shared" si="33"/>
        <v>1</v>
      </c>
      <c r="AA144" t="b">
        <f t="shared" si="34"/>
        <v>1</v>
      </c>
      <c r="AB144" t="b">
        <f t="shared" si="35"/>
        <v>0</v>
      </c>
      <c r="AC144" t="b">
        <f t="shared" si="36"/>
        <v>0</v>
      </c>
      <c r="AD144" t="b">
        <f t="shared" si="37"/>
        <v>0</v>
      </c>
      <c r="AE144" t="b">
        <f t="shared" si="38"/>
        <v>0</v>
      </c>
      <c r="AF144" t="b">
        <f t="shared" si="39"/>
        <v>0</v>
      </c>
      <c r="AG144" t="b">
        <f t="shared" si="40"/>
        <v>0</v>
      </c>
      <c r="AH144" t="b">
        <f t="shared" si="41"/>
        <v>0</v>
      </c>
    </row>
    <row r="145" spans="1:34" x14ac:dyDescent="0.2">
      <c r="A145" s="12" t="s">
        <v>217</v>
      </c>
      <c r="B145" s="12" t="s">
        <v>109</v>
      </c>
      <c r="C145" s="13" t="s">
        <v>110</v>
      </c>
      <c r="D145" s="18">
        <v>0</v>
      </c>
      <c r="E145" s="18">
        <v>2</v>
      </c>
      <c r="F145" s="18">
        <v>2</v>
      </c>
      <c r="G145" s="18">
        <v>2</v>
      </c>
      <c r="H145" s="18">
        <v>0</v>
      </c>
      <c r="I145" s="18">
        <v>0</v>
      </c>
      <c r="J145" s="19">
        <v>2</v>
      </c>
      <c r="K145" s="18">
        <v>1</v>
      </c>
      <c r="L145" s="18">
        <v>1</v>
      </c>
      <c r="M145" s="18">
        <v>2</v>
      </c>
      <c r="N145" s="18"/>
      <c r="O145" s="18">
        <v>2</v>
      </c>
      <c r="P145" s="18">
        <v>0</v>
      </c>
      <c r="Q145" s="17">
        <v>6</v>
      </c>
      <c r="R145">
        <v>2</v>
      </c>
      <c r="S145">
        <v>4</v>
      </c>
      <c r="T145">
        <v>1</v>
      </c>
      <c r="U145" s="14">
        <f t="shared" si="28"/>
        <v>13</v>
      </c>
      <c r="V145" t="b">
        <f t="shared" si="29"/>
        <v>1</v>
      </c>
      <c r="W145" t="b">
        <f t="shared" si="30"/>
        <v>1</v>
      </c>
      <c r="X145" t="b">
        <f t="shared" si="31"/>
        <v>1</v>
      </c>
      <c r="Y145" t="b">
        <f t="shared" si="32"/>
        <v>1</v>
      </c>
      <c r="Z145" t="b">
        <f t="shared" si="33"/>
        <v>1</v>
      </c>
      <c r="AA145" t="b">
        <f t="shared" si="34"/>
        <v>1</v>
      </c>
      <c r="AB145" t="b">
        <f t="shared" si="35"/>
        <v>0</v>
      </c>
      <c r="AC145" t="b">
        <f t="shared" si="36"/>
        <v>0</v>
      </c>
      <c r="AD145" t="b">
        <f t="shared" si="37"/>
        <v>0</v>
      </c>
      <c r="AE145" t="b">
        <f t="shared" si="38"/>
        <v>0</v>
      </c>
      <c r="AF145" t="b">
        <f t="shared" si="39"/>
        <v>0</v>
      </c>
      <c r="AG145" t="b">
        <f t="shared" si="40"/>
        <v>0</v>
      </c>
      <c r="AH145" t="b">
        <f t="shared" si="41"/>
        <v>0</v>
      </c>
    </row>
    <row r="146" spans="1:34" x14ac:dyDescent="0.2">
      <c r="A146" s="12" t="s">
        <v>218</v>
      </c>
      <c r="B146" s="12" t="s">
        <v>109</v>
      </c>
      <c r="C146" s="13" t="s">
        <v>110</v>
      </c>
      <c r="D146" s="18">
        <v>1</v>
      </c>
      <c r="E146" s="18">
        <v>2</v>
      </c>
      <c r="F146" s="18">
        <v>2</v>
      </c>
      <c r="G146" s="18">
        <v>2</v>
      </c>
      <c r="H146" s="18">
        <v>0</v>
      </c>
      <c r="I146" s="18">
        <v>1</v>
      </c>
      <c r="J146" s="19">
        <v>2</v>
      </c>
      <c r="K146" s="18">
        <v>2</v>
      </c>
      <c r="L146" s="18">
        <v>1</v>
      </c>
      <c r="M146" s="18">
        <v>2</v>
      </c>
      <c r="N146" s="18"/>
      <c r="O146" s="18">
        <v>2</v>
      </c>
      <c r="P146" s="18">
        <v>1</v>
      </c>
      <c r="Q146" s="17">
        <v>7</v>
      </c>
      <c r="R146">
        <v>4</v>
      </c>
      <c r="S146">
        <v>1</v>
      </c>
      <c r="T146">
        <v>1</v>
      </c>
      <c r="U146" s="14">
        <f t="shared" si="28"/>
        <v>13</v>
      </c>
      <c r="V146" t="b">
        <f t="shared" si="29"/>
        <v>1</v>
      </c>
      <c r="W146" t="b">
        <f t="shared" si="30"/>
        <v>1</v>
      </c>
      <c r="X146" t="b">
        <f t="shared" si="31"/>
        <v>1</v>
      </c>
      <c r="Y146" t="b">
        <f t="shared" si="32"/>
        <v>1</v>
      </c>
      <c r="Z146" t="b">
        <f t="shared" si="33"/>
        <v>1</v>
      </c>
      <c r="AA146" t="b">
        <f t="shared" si="34"/>
        <v>1</v>
      </c>
      <c r="AB146" t="b">
        <f t="shared" si="35"/>
        <v>1</v>
      </c>
      <c r="AC146" t="b">
        <f t="shared" si="36"/>
        <v>0</v>
      </c>
      <c r="AD146" t="b">
        <f t="shared" si="37"/>
        <v>0</v>
      </c>
      <c r="AE146" t="b">
        <f t="shared" si="38"/>
        <v>0</v>
      </c>
      <c r="AF146" t="b">
        <f t="shared" si="39"/>
        <v>0</v>
      </c>
      <c r="AG146" t="b">
        <f t="shared" si="40"/>
        <v>0</v>
      </c>
      <c r="AH146" t="b">
        <f t="shared" si="41"/>
        <v>0</v>
      </c>
    </row>
    <row r="147" spans="1:34" x14ac:dyDescent="0.2">
      <c r="A147" s="12" t="s">
        <v>158</v>
      </c>
      <c r="B147" s="12" t="s">
        <v>109</v>
      </c>
      <c r="C147" s="13" t="s">
        <v>110</v>
      </c>
      <c r="D147" s="18">
        <v>1</v>
      </c>
      <c r="E147" s="18">
        <v>0</v>
      </c>
      <c r="F147" s="18">
        <v>1</v>
      </c>
      <c r="G147" s="18">
        <v>2</v>
      </c>
      <c r="H147" s="18">
        <v>1</v>
      </c>
      <c r="I147" s="18">
        <v>2</v>
      </c>
      <c r="J147" s="19">
        <v>2</v>
      </c>
      <c r="K147" s="18">
        <v>1</v>
      </c>
      <c r="L147" s="18">
        <v>1</v>
      </c>
      <c r="M147" s="18">
        <v>1</v>
      </c>
      <c r="N147" s="18"/>
      <c r="O147" s="18">
        <v>2</v>
      </c>
      <c r="P147" s="18">
        <v>1</v>
      </c>
      <c r="Q147" s="17">
        <v>4</v>
      </c>
      <c r="R147">
        <v>7</v>
      </c>
      <c r="S147">
        <v>1</v>
      </c>
      <c r="T147">
        <v>1</v>
      </c>
      <c r="U147" s="14">
        <f t="shared" si="28"/>
        <v>13</v>
      </c>
      <c r="V147" t="b">
        <f t="shared" si="29"/>
        <v>1</v>
      </c>
      <c r="W147" t="b">
        <f t="shared" si="30"/>
        <v>1</v>
      </c>
      <c r="X147" t="b">
        <f t="shared" si="31"/>
        <v>1</v>
      </c>
      <c r="Y147" t="b">
        <f t="shared" si="32"/>
        <v>1</v>
      </c>
      <c r="Z147" t="b">
        <f t="shared" si="33"/>
        <v>0</v>
      </c>
      <c r="AA147" t="b">
        <f t="shared" si="34"/>
        <v>0</v>
      </c>
      <c r="AB147" t="b">
        <f t="shared" si="35"/>
        <v>0</v>
      </c>
      <c r="AC147" t="b">
        <f t="shared" si="36"/>
        <v>0</v>
      </c>
      <c r="AD147" t="b">
        <f t="shared" si="37"/>
        <v>0</v>
      </c>
      <c r="AE147" t="b">
        <f t="shared" si="38"/>
        <v>0</v>
      </c>
      <c r="AF147" t="b">
        <f t="shared" si="39"/>
        <v>0</v>
      </c>
      <c r="AG147" t="b">
        <f t="shared" si="40"/>
        <v>0</v>
      </c>
      <c r="AH147" t="b">
        <f t="shared" si="41"/>
        <v>0</v>
      </c>
    </row>
    <row r="148" spans="1:34" x14ac:dyDescent="0.2">
      <c r="A148" s="12" t="s">
        <v>219</v>
      </c>
      <c r="B148" s="12" t="s">
        <v>109</v>
      </c>
      <c r="C148" s="13" t="s">
        <v>110</v>
      </c>
      <c r="D148" s="18">
        <v>0</v>
      </c>
      <c r="E148" s="18">
        <v>2</v>
      </c>
      <c r="F148" s="18">
        <v>1</v>
      </c>
      <c r="G148" s="18">
        <v>2</v>
      </c>
      <c r="H148" s="18">
        <v>0</v>
      </c>
      <c r="I148" s="18">
        <v>0</v>
      </c>
      <c r="J148" s="19">
        <v>1</v>
      </c>
      <c r="K148" s="18">
        <v>0</v>
      </c>
      <c r="L148" s="18">
        <v>2</v>
      </c>
      <c r="M148" s="18">
        <v>1</v>
      </c>
      <c r="N148" s="18"/>
      <c r="O148" s="18">
        <v>2</v>
      </c>
      <c r="P148" s="18">
        <v>0</v>
      </c>
      <c r="Q148" s="17">
        <v>4</v>
      </c>
      <c r="R148">
        <v>3</v>
      </c>
      <c r="S148">
        <v>5</v>
      </c>
      <c r="T148">
        <v>1</v>
      </c>
      <c r="U148" s="14">
        <f t="shared" si="28"/>
        <v>13</v>
      </c>
      <c r="V148" t="b">
        <f t="shared" si="29"/>
        <v>1</v>
      </c>
      <c r="W148" t="b">
        <f t="shared" si="30"/>
        <v>1</v>
      </c>
      <c r="X148" t="b">
        <f t="shared" si="31"/>
        <v>1</v>
      </c>
      <c r="Y148" t="b">
        <f t="shared" si="32"/>
        <v>1</v>
      </c>
      <c r="Z148" t="b">
        <f t="shared" si="33"/>
        <v>0</v>
      </c>
      <c r="AA148" t="b">
        <f t="shared" si="34"/>
        <v>0</v>
      </c>
      <c r="AB148" t="b">
        <f t="shared" si="35"/>
        <v>0</v>
      </c>
      <c r="AC148" t="b">
        <f t="shared" si="36"/>
        <v>0</v>
      </c>
      <c r="AD148" t="b">
        <f t="shared" si="37"/>
        <v>0</v>
      </c>
      <c r="AE148" t="b">
        <f t="shared" si="38"/>
        <v>0</v>
      </c>
      <c r="AF148" t="b">
        <f t="shared" si="39"/>
        <v>0</v>
      </c>
      <c r="AG148" t="b">
        <f t="shared" si="40"/>
        <v>0</v>
      </c>
      <c r="AH148" t="b">
        <f t="shared" si="41"/>
        <v>0</v>
      </c>
    </row>
    <row r="149" spans="1:34" x14ac:dyDescent="0.2">
      <c r="A149" s="12" t="s">
        <v>220</v>
      </c>
      <c r="B149" s="12" t="s">
        <v>109</v>
      </c>
      <c r="C149" s="13" t="s">
        <v>110</v>
      </c>
      <c r="D149" s="18">
        <v>0</v>
      </c>
      <c r="E149" s="18">
        <v>1</v>
      </c>
      <c r="F149" s="18">
        <v>1</v>
      </c>
      <c r="G149" s="18">
        <v>0</v>
      </c>
      <c r="H149" s="18">
        <v>0</v>
      </c>
      <c r="I149" s="18">
        <v>0</v>
      </c>
      <c r="J149" s="19">
        <v>0</v>
      </c>
      <c r="K149" s="18">
        <v>0</v>
      </c>
      <c r="L149" s="18"/>
      <c r="M149" s="18">
        <v>0</v>
      </c>
      <c r="N149" s="18"/>
      <c r="O149" s="18">
        <v>1</v>
      </c>
      <c r="P149" s="18">
        <v>0</v>
      </c>
      <c r="Q149" s="17">
        <v>0</v>
      </c>
      <c r="R149">
        <v>3</v>
      </c>
      <c r="S149">
        <v>8</v>
      </c>
      <c r="T149">
        <v>2</v>
      </c>
      <c r="U149" s="14">
        <f t="shared" si="28"/>
        <v>13</v>
      </c>
      <c r="V149" t="b">
        <f t="shared" si="29"/>
        <v>0</v>
      </c>
      <c r="W149" t="b">
        <f t="shared" si="30"/>
        <v>0</v>
      </c>
      <c r="X149" t="b">
        <f t="shared" si="31"/>
        <v>0</v>
      </c>
      <c r="Y149" t="b">
        <f t="shared" si="32"/>
        <v>0</v>
      </c>
      <c r="Z149" t="b">
        <f t="shared" si="33"/>
        <v>0</v>
      </c>
      <c r="AA149" t="b">
        <f t="shared" si="34"/>
        <v>0</v>
      </c>
      <c r="AB149" t="b">
        <f t="shared" si="35"/>
        <v>0</v>
      </c>
      <c r="AC149" t="b">
        <f t="shared" si="36"/>
        <v>0</v>
      </c>
      <c r="AD149" t="b">
        <f t="shared" si="37"/>
        <v>0</v>
      </c>
      <c r="AE149" t="b">
        <f t="shared" si="38"/>
        <v>0</v>
      </c>
      <c r="AF149" t="b">
        <f t="shared" si="39"/>
        <v>0</v>
      </c>
      <c r="AG149" t="b">
        <f t="shared" si="40"/>
        <v>0</v>
      </c>
      <c r="AH149" t="b">
        <f t="shared" si="41"/>
        <v>0</v>
      </c>
    </row>
    <row r="150" spans="1:34" x14ac:dyDescent="0.2">
      <c r="A150" s="12" t="s">
        <v>195</v>
      </c>
      <c r="B150" s="12" t="s">
        <v>109</v>
      </c>
      <c r="C150" s="13" t="s">
        <v>110</v>
      </c>
      <c r="D150" s="18">
        <v>0</v>
      </c>
      <c r="E150" s="18">
        <v>2</v>
      </c>
      <c r="F150" s="18">
        <v>1</v>
      </c>
      <c r="G150" s="18">
        <v>0</v>
      </c>
      <c r="H150" s="18">
        <v>0</v>
      </c>
      <c r="I150" s="18">
        <v>1</v>
      </c>
      <c r="J150" s="19">
        <v>1</v>
      </c>
      <c r="K150" s="18">
        <v>0</v>
      </c>
      <c r="L150" s="18">
        <v>2</v>
      </c>
      <c r="M150" s="18">
        <v>0</v>
      </c>
      <c r="N150" s="18"/>
      <c r="O150" s="18">
        <v>2</v>
      </c>
      <c r="P150" s="18">
        <v>0</v>
      </c>
      <c r="Q150" s="17">
        <v>3</v>
      </c>
      <c r="R150">
        <v>3</v>
      </c>
      <c r="S150">
        <v>6</v>
      </c>
      <c r="T150">
        <v>1</v>
      </c>
      <c r="U150" s="14">
        <f t="shared" si="28"/>
        <v>13</v>
      </c>
      <c r="V150" t="b">
        <f t="shared" si="29"/>
        <v>1</v>
      </c>
      <c r="W150" t="b">
        <f t="shared" si="30"/>
        <v>1</v>
      </c>
      <c r="X150" t="b">
        <f t="shared" si="31"/>
        <v>1</v>
      </c>
      <c r="Y150" t="b">
        <f t="shared" si="32"/>
        <v>0</v>
      </c>
      <c r="Z150" t="b">
        <f t="shared" si="33"/>
        <v>0</v>
      </c>
      <c r="AA150" t="b">
        <f t="shared" si="34"/>
        <v>0</v>
      </c>
      <c r="AB150" t="b">
        <f t="shared" si="35"/>
        <v>0</v>
      </c>
      <c r="AC150" t="b">
        <f t="shared" si="36"/>
        <v>0</v>
      </c>
      <c r="AD150" t="b">
        <f t="shared" si="37"/>
        <v>0</v>
      </c>
      <c r="AE150" t="b">
        <f t="shared" si="38"/>
        <v>0</v>
      </c>
      <c r="AF150" t="b">
        <f t="shared" si="39"/>
        <v>0</v>
      </c>
      <c r="AG150" t="b">
        <f t="shared" si="40"/>
        <v>0</v>
      </c>
      <c r="AH150" t="b">
        <f t="shared" si="41"/>
        <v>0</v>
      </c>
    </row>
    <row r="151" spans="1:34" x14ac:dyDescent="0.2">
      <c r="A151" s="12" t="s">
        <v>221</v>
      </c>
      <c r="B151" s="12" t="s">
        <v>118</v>
      </c>
      <c r="C151" s="13" t="s">
        <v>119</v>
      </c>
      <c r="D151" s="18">
        <v>0</v>
      </c>
      <c r="E151" s="18">
        <v>2</v>
      </c>
      <c r="F151" s="18">
        <v>2</v>
      </c>
      <c r="G151" s="18">
        <v>1</v>
      </c>
      <c r="H151" s="18">
        <v>0</v>
      </c>
      <c r="I151" s="18">
        <v>0</v>
      </c>
      <c r="J151" s="19">
        <v>2</v>
      </c>
      <c r="K151" s="18">
        <v>1</v>
      </c>
      <c r="L151" s="18">
        <v>0</v>
      </c>
      <c r="M151" s="18">
        <v>0</v>
      </c>
      <c r="N151" s="18">
        <v>1</v>
      </c>
      <c r="O151" s="18">
        <v>2</v>
      </c>
      <c r="P151" s="18">
        <v>0</v>
      </c>
      <c r="Q151" s="17">
        <v>4</v>
      </c>
      <c r="R151">
        <v>3</v>
      </c>
      <c r="S151">
        <v>6</v>
      </c>
      <c r="T151">
        <v>0</v>
      </c>
      <c r="U151" s="14">
        <f t="shared" si="28"/>
        <v>13</v>
      </c>
      <c r="V151" t="b">
        <f t="shared" si="29"/>
        <v>1</v>
      </c>
      <c r="W151" t="b">
        <f t="shared" si="30"/>
        <v>1</v>
      </c>
      <c r="X151" t="b">
        <f t="shared" si="31"/>
        <v>1</v>
      </c>
      <c r="Y151" t="b">
        <f t="shared" si="32"/>
        <v>1</v>
      </c>
      <c r="Z151" t="b">
        <f t="shared" si="33"/>
        <v>0</v>
      </c>
      <c r="AA151" t="b">
        <f t="shared" si="34"/>
        <v>0</v>
      </c>
      <c r="AB151" t="b">
        <f t="shared" si="35"/>
        <v>0</v>
      </c>
      <c r="AC151" t="b">
        <f t="shared" si="36"/>
        <v>0</v>
      </c>
      <c r="AD151" t="b">
        <f t="shared" si="37"/>
        <v>0</v>
      </c>
      <c r="AE151" t="b">
        <f t="shared" si="38"/>
        <v>0</v>
      </c>
      <c r="AF151" t="b">
        <f t="shared" si="39"/>
        <v>0</v>
      </c>
      <c r="AG151" t="b">
        <f t="shared" si="40"/>
        <v>0</v>
      </c>
      <c r="AH151" t="b">
        <f t="shared" si="41"/>
        <v>0</v>
      </c>
    </row>
    <row r="152" spans="1:34" x14ac:dyDescent="0.2">
      <c r="A152" s="12" t="s">
        <v>222</v>
      </c>
      <c r="B152" s="12" t="s">
        <v>118</v>
      </c>
      <c r="C152" s="13" t="s">
        <v>119</v>
      </c>
      <c r="D152" s="18">
        <v>0</v>
      </c>
      <c r="E152" s="18">
        <v>1</v>
      </c>
      <c r="F152" s="18">
        <v>1</v>
      </c>
      <c r="G152" s="18">
        <v>1</v>
      </c>
      <c r="H152" s="18">
        <v>0</v>
      </c>
      <c r="I152" s="18">
        <v>0</v>
      </c>
      <c r="J152" s="19">
        <v>1</v>
      </c>
      <c r="K152" s="18">
        <v>1</v>
      </c>
      <c r="L152" s="18">
        <v>0</v>
      </c>
      <c r="M152" s="18">
        <v>0</v>
      </c>
      <c r="N152" s="18">
        <v>1</v>
      </c>
      <c r="O152" s="18">
        <v>2</v>
      </c>
      <c r="P152" s="18">
        <v>0</v>
      </c>
      <c r="Q152" s="17">
        <v>1</v>
      </c>
      <c r="R152">
        <v>6</v>
      </c>
      <c r="S152">
        <v>6</v>
      </c>
      <c r="T152">
        <v>0</v>
      </c>
      <c r="U152" s="14">
        <f t="shared" si="28"/>
        <v>13</v>
      </c>
      <c r="V152" t="b">
        <f t="shared" si="29"/>
        <v>1</v>
      </c>
      <c r="W152" t="b">
        <f t="shared" si="30"/>
        <v>0</v>
      </c>
      <c r="X152" t="b">
        <f t="shared" si="31"/>
        <v>0</v>
      </c>
      <c r="Y152" t="b">
        <f t="shared" si="32"/>
        <v>0</v>
      </c>
      <c r="Z152" t="b">
        <f t="shared" si="33"/>
        <v>0</v>
      </c>
      <c r="AA152" t="b">
        <f t="shared" si="34"/>
        <v>0</v>
      </c>
      <c r="AB152" t="b">
        <f t="shared" si="35"/>
        <v>0</v>
      </c>
      <c r="AC152" t="b">
        <f t="shared" si="36"/>
        <v>0</v>
      </c>
      <c r="AD152" t="b">
        <f t="shared" si="37"/>
        <v>0</v>
      </c>
      <c r="AE152" t="b">
        <f t="shared" si="38"/>
        <v>0</v>
      </c>
      <c r="AF152" t="b">
        <f t="shared" si="39"/>
        <v>0</v>
      </c>
      <c r="AG152" t="b">
        <f t="shared" si="40"/>
        <v>0</v>
      </c>
      <c r="AH152" t="b">
        <f t="shared" si="41"/>
        <v>0</v>
      </c>
    </row>
    <row r="153" spans="1:34" x14ac:dyDescent="0.2">
      <c r="A153" s="12" t="s">
        <v>223</v>
      </c>
      <c r="B153" s="12" t="s">
        <v>118</v>
      </c>
      <c r="C153" s="13" t="s">
        <v>119</v>
      </c>
      <c r="D153" s="18">
        <v>2</v>
      </c>
      <c r="E153" s="18">
        <v>0</v>
      </c>
      <c r="F153" s="18">
        <v>1</v>
      </c>
      <c r="G153" s="18">
        <v>2</v>
      </c>
      <c r="H153" s="18">
        <v>2</v>
      </c>
      <c r="I153" s="18">
        <v>2</v>
      </c>
      <c r="J153" s="19">
        <v>2</v>
      </c>
      <c r="K153" s="18">
        <v>2</v>
      </c>
      <c r="L153" s="18">
        <v>1</v>
      </c>
      <c r="M153" s="18">
        <v>1</v>
      </c>
      <c r="N153" s="18"/>
      <c r="O153" s="18">
        <v>2</v>
      </c>
      <c r="P153" s="18">
        <v>1</v>
      </c>
      <c r="Q153" s="17">
        <v>7</v>
      </c>
      <c r="R153">
        <v>4</v>
      </c>
      <c r="S153">
        <v>1</v>
      </c>
      <c r="T153">
        <v>1</v>
      </c>
      <c r="U153" s="14">
        <f t="shared" si="28"/>
        <v>13</v>
      </c>
      <c r="V153" t="b">
        <f t="shared" si="29"/>
        <v>1</v>
      </c>
      <c r="W153" t="b">
        <f t="shared" si="30"/>
        <v>1</v>
      </c>
      <c r="X153" t="b">
        <f t="shared" si="31"/>
        <v>1</v>
      </c>
      <c r="Y153" t="b">
        <f t="shared" si="32"/>
        <v>1</v>
      </c>
      <c r="Z153" t="b">
        <f t="shared" si="33"/>
        <v>1</v>
      </c>
      <c r="AA153" t="b">
        <f t="shared" si="34"/>
        <v>1</v>
      </c>
      <c r="AB153" t="b">
        <f t="shared" si="35"/>
        <v>1</v>
      </c>
      <c r="AC153" t="b">
        <f t="shared" si="36"/>
        <v>0</v>
      </c>
      <c r="AD153" t="b">
        <f t="shared" si="37"/>
        <v>0</v>
      </c>
      <c r="AE153" t="b">
        <f t="shared" si="38"/>
        <v>0</v>
      </c>
      <c r="AF153" t="b">
        <f t="shared" si="39"/>
        <v>0</v>
      </c>
      <c r="AG153" t="b">
        <f t="shared" si="40"/>
        <v>0</v>
      </c>
      <c r="AH153" t="b">
        <f t="shared" si="41"/>
        <v>0</v>
      </c>
    </row>
    <row r="154" spans="1:34" x14ac:dyDescent="0.2">
      <c r="A154" s="12" t="s">
        <v>224</v>
      </c>
      <c r="B154" s="12" t="s">
        <v>118</v>
      </c>
      <c r="C154" s="13" t="s">
        <v>119</v>
      </c>
      <c r="D154" s="18">
        <v>2</v>
      </c>
      <c r="E154" s="18">
        <v>1</v>
      </c>
      <c r="F154" s="18">
        <v>2</v>
      </c>
      <c r="G154" s="18">
        <v>2</v>
      </c>
      <c r="H154" s="18">
        <v>2</v>
      </c>
      <c r="I154" s="18">
        <v>1</v>
      </c>
      <c r="J154" s="19">
        <v>1</v>
      </c>
      <c r="K154" s="18">
        <v>2</v>
      </c>
      <c r="L154" s="18">
        <v>1</v>
      </c>
      <c r="M154" s="18">
        <v>2</v>
      </c>
      <c r="N154" s="18">
        <v>2</v>
      </c>
      <c r="O154" s="18">
        <v>2</v>
      </c>
      <c r="P154" s="18">
        <v>2</v>
      </c>
      <c r="Q154" s="17">
        <v>9</v>
      </c>
      <c r="R154">
        <v>4</v>
      </c>
      <c r="S154">
        <v>0</v>
      </c>
      <c r="T154">
        <v>0</v>
      </c>
      <c r="U154" s="14">
        <f t="shared" si="28"/>
        <v>13</v>
      </c>
      <c r="V154" t="b">
        <f t="shared" si="29"/>
        <v>1</v>
      </c>
      <c r="W154" t="b">
        <f t="shared" si="30"/>
        <v>1</v>
      </c>
      <c r="X154" t="b">
        <f t="shared" si="31"/>
        <v>1</v>
      </c>
      <c r="Y154" t="b">
        <f t="shared" si="32"/>
        <v>1</v>
      </c>
      <c r="Z154" t="b">
        <f t="shared" si="33"/>
        <v>1</v>
      </c>
      <c r="AA154" t="b">
        <f t="shared" si="34"/>
        <v>1</v>
      </c>
      <c r="AB154" t="b">
        <f t="shared" si="35"/>
        <v>1</v>
      </c>
      <c r="AC154" t="b">
        <f t="shared" si="36"/>
        <v>1</v>
      </c>
      <c r="AD154" t="b">
        <f t="shared" si="37"/>
        <v>1</v>
      </c>
      <c r="AE154" t="b">
        <f t="shared" si="38"/>
        <v>0</v>
      </c>
      <c r="AF154" t="b">
        <f t="shared" si="39"/>
        <v>0</v>
      </c>
      <c r="AG154" t="b">
        <f t="shared" si="40"/>
        <v>0</v>
      </c>
      <c r="AH154" t="b">
        <f t="shared" si="41"/>
        <v>0</v>
      </c>
    </row>
    <row r="155" spans="1:34" x14ac:dyDescent="0.2">
      <c r="A155" s="12" t="s">
        <v>225</v>
      </c>
      <c r="B155" s="12" t="s">
        <v>118</v>
      </c>
      <c r="C155" s="13" t="s">
        <v>119</v>
      </c>
      <c r="D155" s="18">
        <v>0</v>
      </c>
      <c r="E155" s="18">
        <v>2</v>
      </c>
      <c r="F155" s="18">
        <v>0</v>
      </c>
      <c r="G155" s="18">
        <v>0</v>
      </c>
      <c r="H155" s="18">
        <v>0</v>
      </c>
      <c r="I155" s="18">
        <v>0</v>
      </c>
      <c r="J155" s="19">
        <v>0</v>
      </c>
      <c r="K155" s="18">
        <v>0</v>
      </c>
      <c r="L155" s="18">
        <v>0</v>
      </c>
      <c r="M155" s="18">
        <v>0</v>
      </c>
      <c r="N155" s="18">
        <v>0</v>
      </c>
      <c r="O155" s="18">
        <v>2</v>
      </c>
      <c r="P155" s="18">
        <v>0</v>
      </c>
      <c r="Q155" s="17">
        <v>2</v>
      </c>
      <c r="R155">
        <v>0</v>
      </c>
      <c r="S155">
        <v>11</v>
      </c>
      <c r="T155">
        <v>0</v>
      </c>
      <c r="U155" s="14">
        <f t="shared" si="28"/>
        <v>13</v>
      </c>
      <c r="V155" t="b">
        <f t="shared" si="29"/>
        <v>1</v>
      </c>
      <c r="W155" t="b">
        <f t="shared" si="30"/>
        <v>1</v>
      </c>
      <c r="X155" t="b">
        <f t="shared" si="31"/>
        <v>0</v>
      </c>
      <c r="Y155" t="b">
        <f t="shared" si="32"/>
        <v>0</v>
      </c>
      <c r="Z155" t="b">
        <f t="shared" si="33"/>
        <v>0</v>
      </c>
      <c r="AA155" t="b">
        <f t="shared" si="34"/>
        <v>0</v>
      </c>
      <c r="AB155" t="b">
        <f t="shared" si="35"/>
        <v>0</v>
      </c>
      <c r="AC155" t="b">
        <f t="shared" si="36"/>
        <v>0</v>
      </c>
      <c r="AD155" t="b">
        <f t="shared" si="37"/>
        <v>0</v>
      </c>
      <c r="AE155" t="b">
        <f t="shared" si="38"/>
        <v>0</v>
      </c>
      <c r="AF155" t="b">
        <f t="shared" si="39"/>
        <v>0</v>
      </c>
      <c r="AG155" t="b">
        <f t="shared" si="40"/>
        <v>0</v>
      </c>
      <c r="AH155" t="b">
        <f t="shared" si="41"/>
        <v>0</v>
      </c>
    </row>
    <row r="156" spans="1:34" x14ac:dyDescent="0.2">
      <c r="A156" s="12" t="s">
        <v>226</v>
      </c>
      <c r="B156" s="12" t="s">
        <v>227</v>
      </c>
      <c r="C156" s="13" t="s">
        <v>228</v>
      </c>
      <c r="D156" s="18">
        <v>2</v>
      </c>
      <c r="E156" s="18">
        <v>1</v>
      </c>
      <c r="F156" s="18">
        <v>2</v>
      </c>
      <c r="G156" s="18">
        <v>2</v>
      </c>
      <c r="H156" s="18">
        <v>1</v>
      </c>
      <c r="I156" s="18">
        <v>2</v>
      </c>
      <c r="J156" s="19">
        <v>2</v>
      </c>
      <c r="K156" s="18">
        <v>2</v>
      </c>
      <c r="L156" s="18">
        <v>1</v>
      </c>
      <c r="M156" s="18">
        <v>2</v>
      </c>
      <c r="N156" s="18">
        <v>2</v>
      </c>
      <c r="O156" s="18">
        <v>2</v>
      </c>
      <c r="P156" s="18">
        <v>2</v>
      </c>
      <c r="Q156" s="17">
        <v>10</v>
      </c>
      <c r="R156">
        <v>3</v>
      </c>
      <c r="S156">
        <v>0</v>
      </c>
      <c r="T156">
        <v>0</v>
      </c>
      <c r="U156" s="14">
        <f t="shared" si="28"/>
        <v>13</v>
      </c>
      <c r="V156" t="b">
        <f t="shared" si="29"/>
        <v>1</v>
      </c>
      <c r="W156" t="b">
        <f t="shared" si="30"/>
        <v>1</v>
      </c>
      <c r="X156" t="b">
        <f t="shared" si="31"/>
        <v>1</v>
      </c>
      <c r="Y156" t="b">
        <f t="shared" si="32"/>
        <v>1</v>
      </c>
      <c r="Z156" t="b">
        <f t="shared" si="33"/>
        <v>1</v>
      </c>
      <c r="AA156" t="b">
        <f t="shared" si="34"/>
        <v>1</v>
      </c>
      <c r="AB156" t="b">
        <f t="shared" si="35"/>
        <v>1</v>
      </c>
      <c r="AC156" t="b">
        <f t="shared" si="36"/>
        <v>1</v>
      </c>
      <c r="AD156" t="b">
        <f t="shared" si="37"/>
        <v>1</v>
      </c>
      <c r="AE156" t="b">
        <f t="shared" si="38"/>
        <v>1</v>
      </c>
      <c r="AF156" t="b">
        <f t="shared" si="39"/>
        <v>0</v>
      </c>
      <c r="AG156" t="b">
        <f t="shared" si="40"/>
        <v>0</v>
      </c>
      <c r="AH156" t="b">
        <f t="shared" si="41"/>
        <v>0</v>
      </c>
    </row>
    <row r="157" spans="1:34" x14ac:dyDescent="0.2">
      <c r="A157" s="12" t="s">
        <v>229</v>
      </c>
      <c r="B157" s="12" t="s">
        <v>124</v>
      </c>
      <c r="C157" s="13" t="s">
        <v>124</v>
      </c>
      <c r="D157" s="18"/>
      <c r="E157" s="18">
        <v>2</v>
      </c>
      <c r="F157" s="18">
        <v>2</v>
      </c>
      <c r="G157" s="18">
        <v>2</v>
      </c>
      <c r="H157" s="18">
        <v>2</v>
      </c>
      <c r="I157" s="18">
        <v>0</v>
      </c>
      <c r="J157" s="19">
        <v>1</v>
      </c>
      <c r="K157" s="18">
        <v>1</v>
      </c>
      <c r="L157" s="18">
        <v>1</v>
      </c>
      <c r="M157" s="18">
        <v>2</v>
      </c>
      <c r="N157" s="18"/>
      <c r="O157" s="18">
        <v>2</v>
      </c>
      <c r="P157" s="18">
        <v>1</v>
      </c>
      <c r="Q157" s="17">
        <v>6</v>
      </c>
      <c r="R157">
        <v>4</v>
      </c>
      <c r="S157">
        <v>1</v>
      </c>
      <c r="T157">
        <v>2</v>
      </c>
      <c r="U157" s="14">
        <f t="shared" si="28"/>
        <v>13</v>
      </c>
      <c r="V157" t="b">
        <f t="shared" si="29"/>
        <v>1</v>
      </c>
      <c r="W157" t="b">
        <f t="shared" si="30"/>
        <v>1</v>
      </c>
      <c r="X157" t="b">
        <f t="shared" si="31"/>
        <v>1</v>
      </c>
      <c r="Y157" t="b">
        <f t="shared" si="32"/>
        <v>1</v>
      </c>
      <c r="Z157" t="b">
        <f t="shared" si="33"/>
        <v>1</v>
      </c>
      <c r="AA157" t="b">
        <f t="shared" si="34"/>
        <v>1</v>
      </c>
      <c r="AB157" t="b">
        <f t="shared" si="35"/>
        <v>0</v>
      </c>
      <c r="AC157" t="b">
        <f t="shared" si="36"/>
        <v>0</v>
      </c>
      <c r="AD157" t="b">
        <f t="shared" si="37"/>
        <v>0</v>
      </c>
      <c r="AE157" t="b">
        <f t="shared" si="38"/>
        <v>0</v>
      </c>
      <c r="AF157" t="b">
        <f t="shared" si="39"/>
        <v>0</v>
      </c>
      <c r="AG157" t="b">
        <f t="shared" si="40"/>
        <v>0</v>
      </c>
      <c r="AH157" t="b">
        <f t="shared" si="41"/>
        <v>0</v>
      </c>
    </row>
    <row r="158" spans="1:34" x14ac:dyDescent="0.2">
      <c r="A158" s="12" t="s">
        <v>230</v>
      </c>
      <c r="B158" s="12" t="s">
        <v>124</v>
      </c>
      <c r="C158" s="13" t="s">
        <v>124</v>
      </c>
      <c r="D158" s="18"/>
      <c r="E158" s="18">
        <v>1</v>
      </c>
      <c r="F158" s="18">
        <v>1</v>
      </c>
      <c r="G158" s="18">
        <v>2</v>
      </c>
      <c r="H158" s="18">
        <v>1</v>
      </c>
      <c r="I158" s="18">
        <v>0</v>
      </c>
      <c r="J158" s="19">
        <v>2</v>
      </c>
      <c r="K158" s="18">
        <v>1</v>
      </c>
      <c r="L158" s="18">
        <v>1</v>
      </c>
      <c r="M158" s="18">
        <v>0</v>
      </c>
      <c r="N158" s="18">
        <v>1</v>
      </c>
      <c r="O158" s="18">
        <v>2</v>
      </c>
      <c r="P158" s="18">
        <v>2</v>
      </c>
      <c r="Q158" s="17">
        <v>4</v>
      </c>
      <c r="R158">
        <v>6</v>
      </c>
      <c r="S158">
        <v>2</v>
      </c>
      <c r="T158">
        <v>1</v>
      </c>
      <c r="U158" s="14">
        <f t="shared" si="28"/>
        <v>13</v>
      </c>
      <c r="V158" t="b">
        <f t="shared" si="29"/>
        <v>1</v>
      </c>
      <c r="W158" t="b">
        <f t="shared" si="30"/>
        <v>1</v>
      </c>
      <c r="X158" t="b">
        <f t="shared" si="31"/>
        <v>1</v>
      </c>
      <c r="Y158" t="b">
        <f t="shared" si="32"/>
        <v>1</v>
      </c>
      <c r="Z158" t="b">
        <f t="shared" si="33"/>
        <v>0</v>
      </c>
      <c r="AA158" t="b">
        <f t="shared" si="34"/>
        <v>0</v>
      </c>
      <c r="AB158" t="b">
        <f t="shared" si="35"/>
        <v>0</v>
      </c>
      <c r="AC158" t="b">
        <f t="shared" si="36"/>
        <v>0</v>
      </c>
      <c r="AD158" t="b">
        <f t="shared" si="37"/>
        <v>0</v>
      </c>
      <c r="AE158" t="b">
        <f t="shared" si="38"/>
        <v>0</v>
      </c>
      <c r="AF158" t="b">
        <f t="shared" si="39"/>
        <v>0</v>
      </c>
      <c r="AG158" t="b">
        <f t="shared" si="40"/>
        <v>0</v>
      </c>
      <c r="AH158" t="b">
        <f t="shared" si="41"/>
        <v>0</v>
      </c>
    </row>
    <row r="159" spans="1:34" x14ac:dyDescent="0.2">
      <c r="A159" s="12" t="s">
        <v>231</v>
      </c>
      <c r="B159" s="12" t="s">
        <v>232</v>
      </c>
      <c r="C159" s="13" t="s">
        <v>232</v>
      </c>
      <c r="D159" s="18">
        <v>0</v>
      </c>
      <c r="E159" s="18">
        <v>2</v>
      </c>
      <c r="F159" s="18">
        <v>1</v>
      </c>
      <c r="G159" s="18">
        <v>0</v>
      </c>
      <c r="H159" s="18">
        <v>0</v>
      </c>
      <c r="I159" s="18">
        <v>0</v>
      </c>
      <c r="J159" s="19">
        <v>0</v>
      </c>
      <c r="K159" s="18">
        <v>1</v>
      </c>
      <c r="L159" s="18">
        <v>0</v>
      </c>
      <c r="M159" s="18">
        <v>0</v>
      </c>
      <c r="N159" s="18"/>
      <c r="O159" s="18"/>
      <c r="P159" s="18">
        <v>0</v>
      </c>
      <c r="Q159" s="17">
        <v>1</v>
      </c>
      <c r="R159">
        <v>2</v>
      </c>
      <c r="S159">
        <v>8</v>
      </c>
      <c r="T159">
        <v>2</v>
      </c>
      <c r="U159" s="14">
        <f t="shared" si="28"/>
        <v>13</v>
      </c>
      <c r="V159" t="b">
        <f t="shared" si="29"/>
        <v>1</v>
      </c>
      <c r="W159" t="b">
        <f t="shared" si="30"/>
        <v>0</v>
      </c>
      <c r="X159" t="b">
        <f t="shared" si="31"/>
        <v>0</v>
      </c>
      <c r="Y159" t="b">
        <f t="shared" si="32"/>
        <v>0</v>
      </c>
      <c r="Z159" t="b">
        <f t="shared" si="33"/>
        <v>0</v>
      </c>
      <c r="AA159" t="b">
        <f t="shared" si="34"/>
        <v>0</v>
      </c>
      <c r="AB159" t="b">
        <f t="shared" si="35"/>
        <v>0</v>
      </c>
      <c r="AC159" t="b">
        <f t="shared" si="36"/>
        <v>0</v>
      </c>
      <c r="AD159" t="b">
        <f t="shared" si="37"/>
        <v>0</v>
      </c>
      <c r="AE159" t="b">
        <f t="shared" si="38"/>
        <v>0</v>
      </c>
      <c r="AF159" t="b">
        <f t="shared" si="39"/>
        <v>0</v>
      </c>
      <c r="AG159" t="b">
        <f t="shared" si="40"/>
        <v>0</v>
      </c>
      <c r="AH159" t="b">
        <f t="shared" si="41"/>
        <v>0</v>
      </c>
    </row>
    <row r="160" spans="1:34" x14ac:dyDescent="0.2">
      <c r="A160" s="12" t="s">
        <v>233</v>
      </c>
      <c r="B160" s="12" t="s">
        <v>234</v>
      </c>
      <c r="C160" s="13" t="s">
        <v>235</v>
      </c>
      <c r="D160" s="18">
        <v>1</v>
      </c>
      <c r="E160" s="18">
        <v>2</v>
      </c>
      <c r="F160" s="18">
        <v>2</v>
      </c>
      <c r="G160" s="18">
        <v>2</v>
      </c>
      <c r="H160" s="18">
        <v>1</v>
      </c>
      <c r="I160" s="18">
        <v>0</v>
      </c>
      <c r="J160" s="19">
        <v>1</v>
      </c>
      <c r="K160" s="18">
        <v>2</v>
      </c>
      <c r="L160" s="18">
        <v>1</v>
      </c>
      <c r="M160" s="18">
        <v>2</v>
      </c>
      <c r="N160" s="18">
        <v>1</v>
      </c>
      <c r="O160" s="18">
        <v>1</v>
      </c>
      <c r="P160" s="18">
        <v>1</v>
      </c>
      <c r="Q160" s="17">
        <v>5</v>
      </c>
      <c r="R160">
        <v>7</v>
      </c>
      <c r="S160">
        <v>1</v>
      </c>
      <c r="T160">
        <v>0</v>
      </c>
      <c r="U160" s="14">
        <f t="shared" si="28"/>
        <v>13</v>
      </c>
      <c r="V160" t="b">
        <f t="shared" si="29"/>
        <v>1</v>
      </c>
      <c r="W160" t="b">
        <f t="shared" si="30"/>
        <v>1</v>
      </c>
      <c r="X160" t="b">
        <f t="shared" si="31"/>
        <v>1</v>
      </c>
      <c r="Y160" t="b">
        <f t="shared" si="32"/>
        <v>1</v>
      </c>
      <c r="Z160" t="b">
        <f t="shared" si="33"/>
        <v>1</v>
      </c>
      <c r="AA160" t="b">
        <f t="shared" si="34"/>
        <v>0</v>
      </c>
      <c r="AB160" t="b">
        <f t="shared" si="35"/>
        <v>0</v>
      </c>
      <c r="AC160" t="b">
        <f t="shared" si="36"/>
        <v>0</v>
      </c>
      <c r="AD160" t="b">
        <f t="shared" si="37"/>
        <v>0</v>
      </c>
      <c r="AE160" t="b">
        <f t="shared" si="38"/>
        <v>0</v>
      </c>
      <c r="AF160" t="b">
        <f t="shared" si="39"/>
        <v>0</v>
      </c>
      <c r="AG160" t="b">
        <f t="shared" si="40"/>
        <v>0</v>
      </c>
      <c r="AH160" t="b">
        <f t="shared" si="41"/>
        <v>0</v>
      </c>
    </row>
    <row r="161" spans="1:34" x14ac:dyDescent="0.2">
      <c r="A161" s="12" t="s">
        <v>236</v>
      </c>
      <c r="B161" s="12" t="s">
        <v>237</v>
      </c>
      <c r="C161" s="13" t="s">
        <v>237</v>
      </c>
      <c r="D161" s="18">
        <v>2</v>
      </c>
      <c r="E161" s="18">
        <v>2</v>
      </c>
      <c r="F161" s="18">
        <v>2</v>
      </c>
      <c r="G161" s="18">
        <v>2</v>
      </c>
      <c r="H161" s="18">
        <v>2</v>
      </c>
      <c r="I161" s="18">
        <v>1</v>
      </c>
      <c r="J161" s="19">
        <v>2</v>
      </c>
      <c r="K161" s="18">
        <v>2</v>
      </c>
      <c r="L161" s="18">
        <v>1</v>
      </c>
      <c r="M161" s="18">
        <v>2</v>
      </c>
      <c r="N161" s="18"/>
      <c r="O161" s="18">
        <v>2</v>
      </c>
      <c r="P161" s="18">
        <v>2</v>
      </c>
      <c r="Q161" s="17">
        <v>10</v>
      </c>
      <c r="R161">
        <v>2</v>
      </c>
      <c r="S161">
        <v>0</v>
      </c>
      <c r="T161">
        <v>1</v>
      </c>
      <c r="U161" s="14">
        <f t="shared" si="28"/>
        <v>13</v>
      </c>
      <c r="V161" t="b">
        <f t="shared" si="29"/>
        <v>1</v>
      </c>
      <c r="W161" t="b">
        <f t="shared" si="30"/>
        <v>1</v>
      </c>
      <c r="X161" t="b">
        <f t="shared" si="31"/>
        <v>1</v>
      </c>
      <c r="Y161" t="b">
        <f t="shared" si="32"/>
        <v>1</v>
      </c>
      <c r="Z161" t="b">
        <f t="shared" si="33"/>
        <v>1</v>
      </c>
      <c r="AA161" t="b">
        <f t="shared" si="34"/>
        <v>1</v>
      </c>
      <c r="AB161" t="b">
        <f t="shared" si="35"/>
        <v>1</v>
      </c>
      <c r="AC161" t="b">
        <f t="shared" si="36"/>
        <v>1</v>
      </c>
      <c r="AD161" t="b">
        <f t="shared" si="37"/>
        <v>1</v>
      </c>
      <c r="AE161" t="b">
        <f t="shared" si="38"/>
        <v>1</v>
      </c>
      <c r="AF161" t="b">
        <f t="shared" si="39"/>
        <v>0</v>
      </c>
      <c r="AG161" t="b">
        <f t="shared" si="40"/>
        <v>0</v>
      </c>
      <c r="AH161" t="b">
        <f t="shared" si="41"/>
        <v>0</v>
      </c>
    </row>
    <row r="162" spans="1:34" x14ac:dyDescent="0.2">
      <c r="A162" s="12" t="s">
        <v>238</v>
      </c>
      <c r="B162" s="12" t="s">
        <v>237</v>
      </c>
      <c r="C162" s="13" t="s">
        <v>237</v>
      </c>
      <c r="D162" s="18">
        <v>1</v>
      </c>
      <c r="E162" s="18">
        <v>0</v>
      </c>
      <c r="F162" s="18">
        <v>1</v>
      </c>
      <c r="G162" s="18">
        <v>2</v>
      </c>
      <c r="H162" s="18">
        <v>2</v>
      </c>
      <c r="I162" s="18">
        <v>0</v>
      </c>
      <c r="J162" s="19">
        <v>2</v>
      </c>
      <c r="K162" s="18">
        <v>2</v>
      </c>
      <c r="L162" s="18">
        <v>1</v>
      </c>
      <c r="M162" s="18">
        <v>2</v>
      </c>
      <c r="N162" s="18"/>
      <c r="O162" s="18">
        <v>0</v>
      </c>
      <c r="P162" s="18">
        <v>0</v>
      </c>
      <c r="Q162" s="17">
        <v>5</v>
      </c>
      <c r="R162">
        <v>3</v>
      </c>
      <c r="S162">
        <v>4</v>
      </c>
      <c r="T162">
        <v>1</v>
      </c>
      <c r="U162" s="14">
        <f t="shared" si="28"/>
        <v>13</v>
      </c>
      <c r="V162" t="b">
        <f t="shared" si="29"/>
        <v>1</v>
      </c>
      <c r="W162" t="b">
        <f t="shared" si="30"/>
        <v>1</v>
      </c>
      <c r="X162" t="b">
        <f t="shared" si="31"/>
        <v>1</v>
      </c>
      <c r="Y162" t="b">
        <f t="shared" si="32"/>
        <v>1</v>
      </c>
      <c r="Z162" t="b">
        <f t="shared" si="33"/>
        <v>1</v>
      </c>
      <c r="AA162" t="b">
        <f t="shared" si="34"/>
        <v>0</v>
      </c>
      <c r="AB162" t="b">
        <f t="shared" si="35"/>
        <v>0</v>
      </c>
      <c r="AC162" t="b">
        <f t="shared" si="36"/>
        <v>0</v>
      </c>
      <c r="AD162" t="b">
        <f t="shared" si="37"/>
        <v>0</v>
      </c>
      <c r="AE162" t="b">
        <f t="shared" si="38"/>
        <v>0</v>
      </c>
      <c r="AF162" t="b">
        <f t="shared" si="39"/>
        <v>0</v>
      </c>
      <c r="AG162" t="b">
        <f t="shared" si="40"/>
        <v>0</v>
      </c>
      <c r="AH162" t="b">
        <f t="shared" si="41"/>
        <v>0</v>
      </c>
    </row>
    <row r="163" spans="1:34" x14ac:dyDescent="0.2">
      <c r="A163" s="12" t="s">
        <v>239</v>
      </c>
      <c r="B163" s="12" t="s">
        <v>237</v>
      </c>
      <c r="C163" s="13" t="s">
        <v>237</v>
      </c>
      <c r="D163" s="18"/>
      <c r="E163" s="18">
        <v>2</v>
      </c>
      <c r="F163" s="18">
        <v>1</v>
      </c>
      <c r="G163" s="18">
        <v>2</v>
      </c>
      <c r="H163" s="18">
        <v>1</v>
      </c>
      <c r="I163" s="18">
        <v>0</v>
      </c>
      <c r="J163" s="19">
        <v>1</v>
      </c>
      <c r="K163" s="18">
        <v>2</v>
      </c>
      <c r="L163" s="18">
        <v>1</v>
      </c>
      <c r="M163" s="18">
        <v>1</v>
      </c>
      <c r="N163" s="18"/>
      <c r="O163" s="18">
        <v>2</v>
      </c>
      <c r="P163" s="18">
        <v>0</v>
      </c>
      <c r="Q163" s="17">
        <v>4</v>
      </c>
      <c r="R163">
        <v>5</v>
      </c>
      <c r="S163">
        <v>2</v>
      </c>
      <c r="T163">
        <v>2</v>
      </c>
      <c r="U163" s="14">
        <f t="shared" si="28"/>
        <v>13</v>
      </c>
      <c r="V163" t="b">
        <f t="shared" si="29"/>
        <v>1</v>
      </c>
      <c r="W163" t="b">
        <f t="shared" si="30"/>
        <v>1</v>
      </c>
      <c r="X163" t="b">
        <f t="shared" si="31"/>
        <v>1</v>
      </c>
      <c r="Y163" t="b">
        <f t="shared" si="32"/>
        <v>1</v>
      </c>
      <c r="Z163" t="b">
        <f t="shared" si="33"/>
        <v>0</v>
      </c>
      <c r="AA163" t="b">
        <f t="shared" si="34"/>
        <v>0</v>
      </c>
      <c r="AB163" t="b">
        <f t="shared" si="35"/>
        <v>0</v>
      </c>
      <c r="AC163" t="b">
        <f t="shared" si="36"/>
        <v>0</v>
      </c>
      <c r="AD163" t="b">
        <f t="shared" si="37"/>
        <v>0</v>
      </c>
      <c r="AE163" t="b">
        <f t="shared" si="38"/>
        <v>0</v>
      </c>
      <c r="AF163" t="b">
        <f t="shared" si="39"/>
        <v>0</v>
      </c>
      <c r="AG163" t="b">
        <f t="shared" si="40"/>
        <v>0</v>
      </c>
      <c r="AH163" t="b">
        <f t="shared" si="41"/>
        <v>0</v>
      </c>
    </row>
    <row r="164" spans="1:34" x14ac:dyDescent="0.2">
      <c r="A164" s="12" t="s">
        <v>240</v>
      </c>
      <c r="B164" s="12" t="s">
        <v>241</v>
      </c>
      <c r="C164" s="13" t="s">
        <v>241</v>
      </c>
      <c r="D164" s="18">
        <v>0</v>
      </c>
      <c r="E164" s="18">
        <v>2</v>
      </c>
      <c r="F164" s="18">
        <v>1</v>
      </c>
      <c r="G164" s="18">
        <v>0</v>
      </c>
      <c r="H164" s="18">
        <v>0</v>
      </c>
      <c r="I164" s="18">
        <v>0</v>
      </c>
      <c r="J164" s="19">
        <v>0</v>
      </c>
      <c r="K164" s="18">
        <v>1</v>
      </c>
      <c r="L164" s="18">
        <v>1</v>
      </c>
      <c r="M164" s="18">
        <v>1</v>
      </c>
      <c r="N164" s="18"/>
      <c r="O164" s="18">
        <v>2</v>
      </c>
      <c r="P164" s="18">
        <v>0</v>
      </c>
      <c r="Q164" s="17">
        <v>2</v>
      </c>
      <c r="R164">
        <v>4</v>
      </c>
      <c r="S164">
        <v>6</v>
      </c>
      <c r="T164">
        <v>1</v>
      </c>
      <c r="U164" s="14">
        <f t="shared" si="28"/>
        <v>13</v>
      </c>
      <c r="V164" t="b">
        <f t="shared" si="29"/>
        <v>1</v>
      </c>
      <c r="W164" t="b">
        <f t="shared" si="30"/>
        <v>1</v>
      </c>
      <c r="X164" t="b">
        <f t="shared" si="31"/>
        <v>0</v>
      </c>
      <c r="Y164" t="b">
        <f t="shared" si="32"/>
        <v>0</v>
      </c>
      <c r="Z164" t="b">
        <f t="shared" si="33"/>
        <v>0</v>
      </c>
      <c r="AA164" t="b">
        <f t="shared" si="34"/>
        <v>0</v>
      </c>
      <c r="AB164" t="b">
        <f t="shared" si="35"/>
        <v>0</v>
      </c>
      <c r="AC164" t="b">
        <f t="shared" si="36"/>
        <v>0</v>
      </c>
      <c r="AD164" t="b">
        <f t="shared" si="37"/>
        <v>0</v>
      </c>
      <c r="AE164" t="b">
        <f t="shared" si="38"/>
        <v>0</v>
      </c>
      <c r="AF164" t="b">
        <f t="shared" si="39"/>
        <v>0</v>
      </c>
      <c r="AG164" t="b">
        <f t="shared" si="40"/>
        <v>0</v>
      </c>
      <c r="AH164" t="b">
        <f t="shared" si="41"/>
        <v>0</v>
      </c>
    </row>
    <row r="165" spans="1:34" x14ac:dyDescent="0.2">
      <c r="A165" s="12" t="s">
        <v>57</v>
      </c>
      <c r="B165" s="12" t="s">
        <v>128</v>
      </c>
      <c r="C165" s="13" t="s">
        <v>128</v>
      </c>
      <c r="D165" s="18">
        <v>1</v>
      </c>
      <c r="E165" s="18">
        <v>0</v>
      </c>
      <c r="F165" s="18">
        <v>1</v>
      </c>
      <c r="G165" s="18">
        <v>2</v>
      </c>
      <c r="H165" s="18">
        <v>0</v>
      </c>
      <c r="I165" s="18">
        <v>0</v>
      </c>
      <c r="J165" s="19">
        <v>1</v>
      </c>
      <c r="K165" s="18">
        <v>1</v>
      </c>
      <c r="L165" s="18">
        <v>0</v>
      </c>
      <c r="M165" s="18">
        <v>0</v>
      </c>
      <c r="N165" s="18">
        <v>0</v>
      </c>
      <c r="O165" s="18">
        <v>1</v>
      </c>
      <c r="P165" s="18">
        <v>0</v>
      </c>
      <c r="Q165" s="17">
        <v>1</v>
      </c>
      <c r="R165">
        <v>5</v>
      </c>
      <c r="S165">
        <v>7</v>
      </c>
      <c r="T165">
        <v>0</v>
      </c>
      <c r="U165" s="14">
        <f t="shared" si="28"/>
        <v>13</v>
      </c>
      <c r="V165" t="b">
        <f t="shared" si="29"/>
        <v>1</v>
      </c>
      <c r="W165" t="b">
        <f t="shared" si="30"/>
        <v>0</v>
      </c>
      <c r="X165" t="b">
        <f t="shared" si="31"/>
        <v>0</v>
      </c>
      <c r="Y165" t="b">
        <f t="shared" si="32"/>
        <v>0</v>
      </c>
      <c r="Z165" t="b">
        <f t="shared" si="33"/>
        <v>0</v>
      </c>
      <c r="AA165" t="b">
        <f t="shared" si="34"/>
        <v>0</v>
      </c>
      <c r="AB165" t="b">
        <f t="shared" si="35"/>
        <v>0</v>
      </c>
      <c r="AC165" t="b">
        <f t="shared" si="36"/>
        <v>0</v>
      </c>
      <c r="AD165" t="b">
        <f t="shared" si="37"/>
        <v>0</v>
      </c>
      <c r="AE165" t="b">
        <f t="shared" si="38"/>
        <v>0</v>
      </c>
      <c r="AF165" t="b">
        <f t="shared" si="39"/>
        <v>0</v>
      </c>
      <c r="AG165" t="b">
        <f t="shared" si="40"/>
        <v>0</v>
      </c>
      <c r="AH165" t="b">
        <f t="shared" si="41"/>
        <v>0</v>
      </c>
    </row>
    <row r="166" spans="1:34" x14ac:dyDescent="0.2">
      <c r="A166" s="12" t="s">
        <v>242</v>
      </c>
      <c r="B166" s="12" t="s">
        <v>133</v>
      </c>
      <c r="C166" s="13" t="s">
        <v>133</v>
      </c>
      <c r="D166" s="18">
        <v>0</v>
      </c>
      <c r="E166" s="18">
        <v>0</v>
      </c>
      <c r="F166" s="18">
        <v>1</v>
      </c>
      <c r="G166" s="18">
        <v>1</v>
      </c>
      <c r="H166" s="18">
        <v>0</v>
      </c>
      <c r="I166" s="18">
        <v>0</v>
      </c>
      <c r="J166" s="19">
        <v>1</v>
      </c>
      <c r="K166" s="18">
        <v>1</v>
      </c>
      <c r="L166" s="18"/>
      <c r="M166" s="18">
        <v>0</v>
      </c>
      <c r="N166" s="18">
        <v>1</v>
      </c>
      <c r="O166" s="18"/>
      <c r="P166" s="18">
        <v>0</v>
      </c>
      <c r="Q166" s="17">
        <v>0</v>
      </c>
      <c r="R166">
        <v>5</v>
      </c>
      <c r="S166">
        <v>6</v>
      </c>
      <c r="T166">
        <v>2</v>
      </c>
      <c r="U166" s="14">
        <f t="shared" si="28"/>
        <v>13</v>
      </c>
      <c r="V166" t="b">
        <f t="shared" si="29"/>
        <v>0</v>
      </c>
      <c r="W166" t="b">
        <f t="shared" si="30"/>
        <v>0</v>
      </c>
      <c r="X166" t="b">
        <f t="shared" si="31"/>
        <v>0</v>
      </c>
      <c r="Y166" t="b">
        <f t="shared" si="32"/>
        <v>0</v>
      </c>
      <c r="Z166" t="b">
        <f t="shared" si="33"/>
        <v>0</v>
      </c>
      <c r="AA166" t="b">
        <f t="shared" si="34"/>
        <v>0</v>
      </c>
      <c r="AB166" t="b">
        <f t="shared" si="35"/>
        <v>0</v>
      </c>
      <c r="AC166" t="b">
        <f t="shared" si="36"/>
        <v>0</v>
      </c>
      <c r="AD166" t="b">
        <f t="shared" si="37"/>
        <v>0</v>
      </c>
      <c r="AE166" t="b">
        <f t="shared" si="38"/>
        <v>0</v>
      </c>
      <c r="AF166" t="b">
        <f t="shared" si="39"/>
        <v>0</v>
      </c>
      <c r="AG166" t="b">
        <f t="shared" si="40"/>
        <v>0</v>
      </c>
      <c r="AH166" t="b">
        <f t="shared" si="41"/>
        <v>0</v>
      </c>
    </row>
    <row r="167" spans="1:34" x14ac:dyDescent="0.2">
      <c r="A167" s="12" t="s">
        <v>243</v>
      </c>
      <c r="B167" s="12" t="s">
        <v>170</v>
      </c>
      <c r="C167" s="13" t="s">
        <v>244</v>
      </c>
      <c r="D167" s="18">
        <v>1</v>
      </c>
      <c r="E167" s="18">
        <v>1</v>
      </c>
      <c r="F167" s="18">
        <v>2</v>
      </c>
      <c r="G167" s="18">
        <v>2</v>
      </c>
      <c r="H167" s="18">
        <v>1</v>
      </c>
      <c r="I167" s="18">
        <v>0</v>
      </c>
      <c r="J167" s="19">
        <v>1</v>
      </c>
      <c r="K167" s="18">
        <v>2</v>
      </c>
      <c r="L167" s="18">
        <v>1</v>
      </c>
      <c r="M167" s="18">
        <v>2</v>
      </c>
      <c r="N167" s="18">
        <v>0</v>
      </c>
      <c r="O167" s="18">
        <v>2</v>
      </c>
      <c r="P167" s="18">
        <v>1</v>
      </c>
      <c r="Q167" s="17">
        <v>5</v>
      </c>
      <c r="R167">
        <v>6</v>
      </c>
      <c r="S167">
        <v>2</v>
      </c>
      <c r="T167">
        <v>0</v>
      </c>
      <c r="U167" s="14">
        <f t="shared" si="28"/>
        <v>13</v>
      </c>
      <c r="V167" t="b">
        <f t="shared" si="29"/>
        <v>1</v>
      </c>
      <c r="W167" t="b">
        <f t="shared" si="30"/>
        <v>1</v>
      </c>
      <c r="X167" t="b">
        <f t="shared" si="31"/>
        <v>1</v>
      </c>
      <c r="Y167" t="b">
        <f t="shared" si="32"/>
        <v>1</v>
      </c>
      <c r="Z167" t="b">
        <f t="shared" si="33"/>
        <v>1</v>
      </c>
      <c r="AA167" t="b">
        <f t="shared" si="34"/>
        <v>0</v>
      </c>
      <c r="AB167" t="b">
        <f t="shared" si="35"/>
        <v>0</v>
      </c>
      <c r="AC167" t="b">
        <f t="shared" si="36"/>
        <v>0</v>
      </c>
      <c r="AD167" t="b">
        <f t="shared" si="37"/>
        <v>0</v>
      </c>
      <c r="AE167" t="b">
        <f t="shared" si="38"/>
        <v>0</v>
      </c>
      <c r="AF167" t="b">
        <f t="shared" si="39"/>
        <v>0</v>
      </c>
      <c r="AG167" t="b">
        <f t="shared" si="40"/>
        <v>0</v>
      </c>
      <c r="AH167" t="b">
        <f t="shared" si="41"/>
        <v>0</v>
      </c>
    </row>
    <row r="168" spans="1:34" x14ac:dyDescent="0.2">
      <c r="A168" s="12" t="s">
        <v>245</v>
      </c>
      <c r="B168" s="12" t="s">
        <v>246</v>
      </c>
      <c r="C168" s="13" t="s">
        <v>247</v>
      </c>
      <c r="D168" s="18">
        <v>1</v>
      </c>
      <c r="E168" s="18">
        <v>2</v>
      </c>
      <c r="F168" s="18">
        <v>1</v>
      </c>
      <c r="G168" s="18">
        <v>2</v>
      </c>
      <c r="H168" s="18">
        <v>2</v>
      </c>
      <c r="I168" s="18">
        <v>1</v>
      </c>
      <c r="J168" s="19">
        <v>1</v>
      </c>
      <c r="K168" s="18">
        <v>2</v>
      </c>
      <c r="L168" s="18">
        <v>1</v>
      </c>
      <c r="M168" s="18">
        <v>1</v>
      </c>
      <c r="N168" s="18">
        <v>1</v>
      </c>
      <c r="O168" s="18">
        <v>2</v>
      </c>
      <c r="P168" s="18">
        <v>1</v>
      </c>
      <c r="Q168" s="17">
        <v>5</v>
      </c>
      <c r="R168">
        <v>8</v>
      </c>
      <c r="S168">
        <v>0</v>
      </c>
      <c r="T168">
        <v>0</v>
      </c>
      <c r="U168" s="14">
        <f t="shared" si="28"/>
        <v>13</v>
      </c>
      <c r="V168" t="b">
        <f t="shared" si="29"/>
        <v>1</v>
      </c>
      <c r="W168" t="b">
        <f t="shared" si="30"/>
        <v>1</v>
      </c>
      <c r="X168" t="b">
        <f t="shared" si="31"/>
        <v>1</v>
      </c>
      <c r="Y168" t="b">
        <f t="shared" si="32"/>
        <v>1</v>
      </c>
      <c r="Z168" t="b">
        <f t="shared" si="33"/>
        <v>1</v>
      </c>
      <c r="AA168" t="b">
        <f t="shared" si="34"/>
        <v>0</v>
      </c>
      <c r="AB168" t="b">
        <f t="shared" si="35"/>
        <v>0</v>
      </c>
      <c r="AC168" t="b">
        <f t="shared" si="36"/>
        <v>0</v>
      </c>
      <c r="AD168" t="b">
        <f t="shared" si="37"/>
        <v>0</v>
      </c>
      <c r="AE168" t="b">
        <f t="shared" si="38"/>
        <v>0</v>
      </c>
      <c r="AF168" t="b">
        <f t="shared" si="39"/>
        <v>0</v>
      </c>
      <c r="AG168" t="b">
        <f t="shared" si="40"/>
        <v>0</v>
      </c>
      <c r="AH168" t="b">
        <f t="shared" si="41"/>
        <v>0</v>
      </c>
    </row>
    <row r="169" spans="1:34" x14ac:dyDescent="0.2">
      <c r="A169" s="12" t="s">
        <v>248</v>
      </c>
      <c r="B169" s="12" t="s">
        <v>137</v>
      </c>
      <c r="C169" s="13" t="s">
        <v>137</v>
      </c>
      <c r="D169" s="18">
        <v>0</v>
      </c>
      <c r="E169" s="18">
        <v>2</v>
      </c>
      <c r="F169" s="18">
        <v>2</v>
      </c>
      <c r="G169" s="18">
        <v>2</v>
      </c>
      <c r="H169" s="18">
        <v>0</v>
      </c>
      <c r="I169" s="18">
        <v>0</v>
      </c>
      <c r="J169" s="19">
        <v>1</v>
      </c>
      <c r="K169" s="18">
        <v>1</v>
      </c>
      <c r="L169" s="18">
        <v>1</v>
      </c>
      <c r="M169" s="18">
        <v>2</v>
      </c>
      <c r="N169" s="18"/>
      <c r="O169" s="18">
        <v>2</v>
      </c>
      <c r="P169" s="18">
        <v>0</v>
      </c>
      <c r="Q169" s="17">
        <v>5</v>
      </c>
      <c r="R169">
        <v>3</v>
      </c>
      <c r="S169">
        <v>4</v>
      </c>
      <c r="T169">
        <v>1</v>
      </c>
      <c r="U169" s="14">
        <f t="shared" si="28"/>
        <v>13</v>
      </c>
      <c r="V169" t="b">
        <f t="shared" si="29"/>
        <v>1</v>
      </c>
      <c r="W169" t="b">
        <f t="shared" si="30"/>
        <v>1</v>
      </c>
      <c r="X169" t="b">
        <f t="shared" si="31"/>
        <v>1</v>
      </c>
      <c r="Y169" t="b">
        <f t="shared" si="32"/>
        <v>1</v>
      </c>
      <c r="Z169" t="b">
        <f t="shared" si="33"/>
        <v>1</v>
      </c>
      <c r="AA169" t="b">
        <f t="shared" si="34"/>
        <v>0</v>
      </c>
      <c r="AB169" t="b">
        <f t="shared" si="35"/>
        <v>0</v>
      </c>
      <c r="AC169" t="b">
        <f t="shared" si="36"/>
        <v>0</v>
      </c>
      <c r="AD169" t="b">
        <f t="shared" si="37"/>
        <v>0</v>
      </c>
      <c r="AE169" t="b">
        <f t="shared" si="38"/>
        <v>0</v>
      </c>
      <c r="AF169" t="b">
        <f t="shared" si="39"/>
        <v>0</v>
      </c>
      <c r="AG169" t="b">
        <f t="shared" si="40"/>
        <v>0</v>
      </c>
      <c r="AH169" t="b">
        <f t="shared" si="41"/>
        <v>0</v>
      </c>
    </row>
    <row r="170" spans="1:34" x14ac:dyDescent="0.2">
      <c r="A170" s="12" t="s">
        <v>249</v>
      </c>
      <c r="B170" s="12" t="s">
        <v>137</v>
      </c>
      <c r="C170" s="13" t="s">
        <v>137</v>
      </c>
      <c r="D170" s="18">
        <v>1</v>
      </c>
      <c r="E170" s="18">
        <v>2</v>
      </c>
      <c r="F170" s="18">
        <v>2</v>
      </c>
      <c r="G170" s="18">
        <v>2</v>
      </c>
      <c r="H170" s="18">
        <v>2</v>
      </c>
      <c r="I170" s="18">
        <v>2</v>
      </c>
      <c r="J170" s="19">
        <v>1</v>
      </c>
      <c r="K170" s="18">
        <v>2</v>
      </c>
      <c r="L170" s="18">
        <v>1</v>
      </c>
      <c r="M170" s="18">
        <v>2</v>
      </c>
      <c r="N170" s="18">
        <v>2</v>
      </c>
      <c r="O170" s="18">
        <v>2</v>
      </c>
      <c r="P170" s="18">
        <v>2</v>
      </c>
      <c r="Q170" s="17">
        <v>10</v>
      </c>
      <c r="R170">
        <v>3</v>
      </c>
      <c r="S170">
        <v>0</v>
      </c>
      <c r="T170">
        <v>0</v>
      </c>
      <c r="U170" s="14">
        <f t="shared" si="28"/>
        <v>13</v>
      </c>
      <c r="V170" t="b">
        <f t="shared" si="29"/>
        <v>1</v>
      </c>
      <c r="W170" t="b">
        <f t="shared" si="30"/>
        <v>1</v>
      </c>
      <c r="X170" t="b">
        <f t="shared" si="31"/>
        <v>1</v>
      </c>
      <c r="Y170" t="b">
        <f t="shared" si="32"/>
        <v>1</v>
      </c>
      <c r="Z170" t="b">
        <f t="shared" si="33"/>
        <v>1</v>
      </c>
      <c r="AA170" t="b">
        <f t="shared" si="34"/>
        <v>1</v>
      </c>
      <c r="AB170" t="b">
        <f t="shared" si="35"/>
        <v>1</v>
      </c>
      <c r="AC170" t="b">
        <f t="shared" si="36"/>
        <v>1</v>
      </c>
      <c r="AD170" t="b">
        <f t="shared" si="37"/>
        <v>1</v>
      </c>
      <c r="AE170" t="b">
        <f t="shared" si="38"/>
        <v>1</v>
      </c>
      <c r="AF170" t="b">
        <f t="shared" si="39"/>
        <v>0</v>
      </c>
      <c r="AG170" t="b">
        <f t="shared" si="40"/>
        <v>0</v>
      </c>
      <c r="AH170" t="b">
        <f t="shared" si="41"/>
        <v>0</v>
      </c>
    </row>
    <row r="171" spans="1:34" x14ac:dyDescent="0.2">
      <c r="A171" s="12" t="s">
        <v>250</v>
      </c>
      <c r="B171" s="12" t="s">
        <v>137</v>
      </c>
      <c r="C171" s="13" t="s">
        <v>137</v>
      </c>
      <c r="D171" s="18">
        <v>2</v>
      </c>
      <c r="E171" s="18">
        <v>1</v>
      </c>
      <c r="F171" s="18">
        <v>2</v>
      </c>
      <c r="G171" s="18">
        <v>2</v>
      </c>
      <c r="H171" s="18">
        <v>2</v>
      </c>
      <c r="I171" s="18">
        <v>0</v>
      </c>
      <c r="J171" s="19">
        <v>1</v>
      </c>
      <c r="K171" s="18">
        <v>0</v>
      </c>
      <c r="L171" s="18">
        <v>1</v>
      </c>
      <c r="M171" s="18">
        <v>0</v>
      </c>
      <c r="N171" s="18">
        <v>1</v>
      </c>
      <c r="O171" s="18">
        <v>2</v>
      </c>
      <c r="P171" s="18">
        <v>0</v>
      </c>
      <c r="Q171" s="17">
        <v>5</v>
      </c>
      <c r="R171">
        <v>4</v>
      </c>
      <c r="S171">
        <v>4</v>
      </c>
      <c r="T171">
        <v>0</v>
      </c>
      <c r="U171" s="14">
        <f t="shared" si="28"/>
        <v>13</v>
      </c>
      <c r="V171" t="b">
        <f t="shared" si="29"/>
        <v>1</v>
      </c>
      <c r="W171" t="b">
        <f t="shared" si="30"/>
        <v>1</v>
      </c>
      <c r="X171" t="b">
        <f t="shared" si="31"/>
        <v>1</v>
      </c>
      <c r="Y171" t="b">
        <f t="shared" si="32"/>
        <v>1</v>
      </c>
      <c r="Z171" t="b">
        <f t="shared" si="33"/>
        <v>1</v>
      </c>
      <c r="AA171" t="b">
        <f t="shared" si="34"/>
        <v>0</v>
      </c>
      <c r="AB171" t="b">
        <f t="shared" si="35"/>
        <v>0</v>
      </c>
      <c r="AC171" t="b">
        <f t="shared" si="36"/>
        <v>0</v>
      </c>
      <c r="AD171" t="b">
        <f t="shared" si="37"/>
        <v>0</v>
      </c>
      <c r="AE171" t="b">
        <f t="shared" si="38"/>
        <v>0</v>
      </c>
      <c r="AF171" t="b">
        <f t="shared" si="39"/>
        <v>0</v>
      </c>
      <c r="AG171" t="b">
        <f t="shared" si="40"/>
        <v>0</v>
      </c>
      <c r="AH171" t="b">
        <f t="shared" si="41"/>
        <v>0</v>
      </c>
    </row>
    <row r="172" spans="1:34" x14ac:dyDescent="0.2">
      <c r="A172" s="12" t="s">
        <v>251</v>
      </c>
      <c r="B172" s="12" t="s">
        <v>252</v>
      </c>
      <c r="C172" s="13" t="s">
        <v>253</v>
      </c>
      <c r="D172" s="18"/>
      <c r="E172" s="18">
        <v>1</v>
      </c>
      <c r="F172" s="18">
        <v>1</v>
      </c>
      <c r="G172" s="18">
        <v>0</v>
      </c>
      <c r="H172" s="18">
        <v>0</v>
      </c>
      <c r="I172" s="18">
        <v>0</v>
      </c>
      <c r="J172" s="19">
        <v>1</v>
      </c>
      <c r="K172" s="18">
        <v>0</v>
      </c>
      <c r="L172" s="18"/>
      <c r="M172" s="18">
        <v>0</v>
      </c>
      <c r="N172" s="18">
        <v>0</v>
      </c>
      <c r="O172" s="18"/>
      <c r="P172" s="18">
        <v>0</v>
      </c>
      <c r="Q172" s="17">
        <v>0</v>
      </c>
      <c r="R172">
        <v>3</v>
      </c>
      <c r="S172">
        <v>7</v>
      </c>
      <c r="T172">
        <v>3</v>
      </c>
      <c r="U172" s="14">
        <f t="shared" si="28"/>
        <v>13</v>
      </c>
      <c r="V172" t="b">
        <f t="shared" si="29"/>
        <v>0</v>
      </c>
      <c r="W172" t="b">
        <f t="shared" si="30"/>
        <v>0</v>
      </c>
      <c r="X172" t="b">
        <f t="shared" si="31"/>
        <v>0</v>
      </c>
      <c r="Y172" t="b">
        <f t="shared" si="32"/>
        <v>0</v>
      </c>
      <c r="Z172" t="b">
        <f t="shared" si="33"/>
        <v>0</v>
      </c>
      <c r="AA172" t="b">
        <f t="shared" si="34"/>
        <v>0</v>
      </c>
      <c r="AB172" t="b">
        <f t="shared" si="35"/>
        <v>0</v>
      </c>
      <c r="AC172" t="b">
        <f t="shared" si="36"/>
        <v>0</v>
      </c>
      <c r="AD172" t="b">
        <f t="shared" si="37"/>
        <v>0</v>
      </c>
      <c r="AE172" t="b">
        <f t="shared" si="38"/>
        <v>0</v>
      </c>
      <c r="AF172" t="b">
        <f t="shared" si="39"/>
        <v>0</v>
      </c>
      <c r="AG172" t="b">
        <f t="shared" si="40"/>
        <v>0</v>
      </c>
      <c r="AH172" t="b">
        <f t="shared" si="41"/>
        <v>0</v>
      </c>
    </row>
    <row r="173" spans="1:34" x14ac:dyDescent="0.2">
      <c r="A173" s="12" t="s">
        <v>254</v>
      </c>
      <c r="B173" s="12" t="s">
        <v>245</v>
      </c>
      <c r="C173" s="13" t="s">
        <v>245</v>
      </c>
      <c r="D173" s="18">
        <v>0</v>
      </c>
      <c r="E173" s="18">
        <v>1</v>
      </c>
      <c r="F173" s="18">
        <v>1</v>
      </c>
      <c r="G173" s="18">
        <v>2</v>
      </c>
      <c r="H173" s="18">
        <v>1</v>
      </c>
      <c r="I173" s="18">
        <v>0</v>
      </c>
      <c r="J173" s="19">
        <v>1</v>
      </c>
      <c r="K173" s="18">
        <v>0</v>
      </c>
      <c r="L173" s="18">
        <v>1</v>
      </c>
      <c r="M173" s="18">
        <v>1</v>
      </c>
      <c r="N173" s="18"/>
      <c r="O173" s="18">
        <v>1</v>
      </c>
      <c r="P173" s="18">
        <v>0</v>
      </c>
      <c r="Q173" s="17">
        <v>1</v>
      </c>
      <c r="R173">
        <v>7</v>
      </c>
      <c r="S173">
        <v>4</v>
      </c>
      <c r="T173">
        <v>1</v>
      </c>
      <c r="U173" s="14">
        <f t="shared" si="28"/>
        <v>13</v>
      </c>
      <c r="V173" t="b">
        <f t="shared" si="29"/>
        <v>1</v>
      </c>
      <c r="W173" t="b">
        <f t="shared" si="30"/>
        <v>0</v>
      </c>
      <c r="X173" t="b">
        <f t="shared" si="31"/>
        <v>0</v>
      </c>
      <c r="Y173" t="b">
        <f t="shared" si="32"/>
        <v>0</v>
      </c>
      <c r="Z173" t="b">
        <f t="shared" si="33"/>
        <v>0</v>
      </c>
      <c r="AA173" t="b">
        <f t="shared" si="34"/>
        <v>0</v>
      </c>
      <c r="AB173" t="b">
        <f t="shared" si="35"/>
        <v>0</v>
      </c>
      <c r="AC173" t="b">
        <f t="shared" si="36"/>
        <v>0</v>
      </c>
      <c r="AD173" t="b">
        <f t="shared" si="37"/>
        <v>0</v>
      </c>
      <c r="AE173" t="b">
        <f t="shared" si="38"/>
        <v>0</v>
      </c>
      <c r="AF173" t="b">
        <f t="shared" si="39"/>
        <v>0</v>
      </c>
      <c r="AG173" t="b">
        <f t="shared" si="40"/>
        <v>0</v>
      </c>
      <c r="AH173" t="b">
        <f t="shared" si="41"/>
        <v>0</v>
      </c>
    </row>
    <row r="174" spans="1:34" x14ac:dyDescent="0.2">
      <c r="A174" s="12" t="s">
        <v>255</v>
      </c>
      <c r="B174" s="12" t="s">
        <v>245</v>
      </c>
      <c r="C174" s="13" t="s">
        <v>245</v>
      </c>
      <c r="D174" s="18">
        <v>0</v>
      </c>
      <c r="E174" s="18">
        <v>2</v>
      </c>
      <c r="F174" s="18">
        <v>1</v>
      </c>
      <c r="G174" s="18">
        <v>2</v>
      </c>
      <c r="H174" s="18">
        <v>1</v>
      </c>
      <c r="I174" s="18">
        <v>0</v>
      </c>
      <c r="J174" s="19">
        <v>2</v>
      </c>
      <c r="K174" s="18">
        <v>1</v>
      </c>
      <c r="L174" s="18">
        <v>1</v>
      </c>
      <c r="M174" s="18">
        <v>1</v>
      </c>
      <c r="N174" s="18">
        <v>1</v>
      </c>
      <c r="O174" s="18">
        <v>2</v>
      </c>
      <c r="P174" s="18">
        <v>0</v>
      </c>
      <c r="Q174" s="17">
        <v>4</v>
      </c>
      <c r="R174">
        <v>6</v>
      </c>
      <c r="S174">
        <v>3</v>
      </c>
      <c r="T174">
        <v>0</v>
      </c>
      <c r="U174" s="14">
        <f t="shared" si="28"/>
        <v>13</v>
      </c>
      <c r="V174" t="b">
        <f t="shared" si="29"/>
        <v>1</v>
      </c>
      <c r="W174" t="b">
        <f t="shared" si="30"/>
        <v>1</v>
      </c>
      <c r="X174" t="b">
        <f t="shared" si="31"/>
        <v>1</v>
      </c>
      <c r="Y174" t="b">
        <f t="shared" si="32"/>
        <v>1</v>
      </c>
      <c r="Z174" t="b">
        <f t="shared" si="33"/>
        <v>0</v>
      </c>
      <c r="AA174" t="b">
        <f t="shared" si="34"/>
        <v>0</v>
      </c>
      <c r="AB174" t="b">
        <f t="shared" si="35"/>
        <v>0</v>
      </c>
      <c r="AC174" t="b">
        <f t="shared" si="36"/>
        <v>0</v>
      </c>
      <c r="AD174" t="b">
        <f t="shared" si="37"/>
        <v>0</v>
      </c>
      <c r="AE174" t="b">
        <f t="shared" si="38"/>
        <v>0</v>
      </c>
      <c r="AF174" t="b">
        <f t="shared" si="39"/>
        <v>0</v>
      </c>
      <c r="AG174" t="b">
        <f t="shared" si="40"/>
        <v>0</v>
      </c>
      <c r="AH174" t="b">
        <f t="shared" si="41"/>
        <v>0</v>
      </c>
    </row>
    <row r="175" spans="1:34" x14ac:dyDescent="0.2">
      <c r="A175" s="12" t="s">
        <v>256</v>
      </c>
      <c r="B175" s="12" t="s">
        <v>245</v>
      </c>
      <c r="C175" s="13" t="s">
        <v>245</v>
      </c>
      <c r="D175" s="18">
        <v>1</v>
      </c>
      <c r="E175" s="18">
        <v>1</v>
      </c>
      <c r="F175" s="18">
        <v>1</v>
      </c>
      <c r="G175" s="18">
        <v>2</v>
      </c>
      <c r="H175" s="18">
        <v>1</v>
      </c>
      <c r="I175" s="18">
        <v>2</v>
      </c>
      <c r="J175" s="19">
        <v>1</v>
      </c>
      <c r="K175" s="18">
        <v>1</v>
      </c>
      <c r="L175" s="18">
        <v>1</v>
      </c>
      <c r="M175" s="18">
        <v>1</v>
      </c>
      <c r="N175" s="18">
        <v>1</v>
      </c>
      <c r="O175" s="18">
        <v>2</v>
      </c>
      <c r="P175" s="18">
        <v>0</v>
      </c>
      <c r="Q175" s="17">
        <v>3</v>
      </c>
      <c r="R175">
        <v>9</v>
      </c>
      <c r="S175">
        <v>1</v>
      </c>
      <c r="T175">
        <v>0</v>
      </c>
      <c r="U175" s="14">
        <f t="shared" si="28"/>
        <v>13</v>
      </c>
      <c r="V175" t="b">
        <f t="shared" si="29"/>
        <v>1</v>
      </c>
      <c r="W175" t="b">
        <f t="shared" si="30"/>
        <v>1</v>
      </c>
      <c r="X175" t="b">
        <f t="shared" si="31"/>
        <v>1</v>
      </c>
      <c r="Y175" t="b">
        <f t="shared" si="32"/>
        <v>0</v>
      </c>
      <c r="Z175" t="b">
        <f t="shared" si="33"/>
        <v>0</v>
      </c>
      <c r="AA175" t="b">
        <f t="shared" si="34"/>
        <v>0</v>
      </c>
      <c r="AB175" t="b">
        <f t="shared" si="35"/>
        <v>0</v>
      </c>
      <c r="AC175" t="b">
        <f t="shared" si="36"/>
        <v>0</v>
      </c>
      <c r="AD175" t="b">
        <f t="shared" si="37"/>
        <v>0</v>
      </c>
      <c r="AE175" t="b">
        <f t="shared" si="38"/>
        <v>0</v>
      </c>
      <c r="AF175" t="b">
        <f t="shared" si="39"/>
        <v>0</v>
      </c>
      <c r="AG175" t="b">
        <f t="shared" si="40"/>
        <v>0</v>
      </c>
      <c r="AH175" t="b">
        <f t="shared" si="41"/>
        <v>0</v>
      </c>
    </row>
    <row r="176" spans="1:34" x14ac:dyDescent="0.2">
      <c r="A176" s="12" t="s">
        <v>257</v>
      </c>
      <c r="B176" s="12" t="s">
        <v>245</v>
      </c>
      <c r="C176" s="13" t="s">
        <v>245</v>
      </c>
      <c r="D176" s="18">
        <v>0</v>
      </c>
      <c r="E176" s="18">
        <v>0</v>
      </c>
      <c r="F176" s="18">
        <v>1</v>
      </c>
      <c r="G176" s="18">
        <v>2</v>
      </c>
      <c r="H176" s="18">
        <v>0</v>
      </c>
      <c r="I176" s="18">
        <v>0</v>
      </c>
      <c r="J176" s="19">
        <v>1</v>
      </c>
      <c r="K176" s="18">
        <v>1</v>
      </c>
      <c r="L176" s="18">
        <v>1</v>
      </c>
      <c r="M176" s="18">
        <v>1</v>
      </c>
      <c r="N176" s="18">
        <v>1</v>
      </c>
      <c r="O176" s="18">
        <v>0</v>
      </c>
      <c r="P176" s="18">
        <v>0</v>
      </c>
      <c r="Q176" s="17">
        <v>1</v>
      </c>
      <c r="R176">
        <v>6</v>
      </c>
      <c r="S176">
        <v>6</v>
      </c>
      <c r="T176">
        <v>0</v>
      </c>
      <c r="U176" s="14">
        <f t="shared" si="28"/>
        <v>13</v>
      </c>
      <c r="V176" t="b">
        <f t="shared" si="29"/>
        <v>1</v>
      </c>
      <c r="W176" t="b">
        <f t="shared" si="30"/>
        <v>0</v>
      </c>
      <c r="X176" t="b">
        <f t="shared" si="31"/>
        <v>0</v>
      </c>
      <c r="Y176" t="b">
        <f t="shared" si="32"/>
        <v>0</v>
      </c>
      <c r="Z176" t="b">
        <f t="shared" si="33"/>
        <v>0</v>
      </c>
      <c r="AA176" t="b">
        <f t="shared" si="34"/>
        <v>0</v>
      </c>
      <c r="AB176" t="b">
        <f t="shared" si="35"/>
        <v>0</v>
      </c>
      <c r="AC176" t="b">
        <f t="shared" si="36"/>
        <v>0</v>
      </c>
      <c r="AD176" t="b">
        <f t="shared" si="37"/>
        <v>0</v>
      </c>
      <c r="AE176" t="b">
        <f t="shared" si="38"/>
        <v>0</v>
      </c>
      <c r="AF176" t="b">
        <f t="shared" si="39"/>
        <v>0</v>
      </c>
      <c r="AG176" t="b">
        <f t="shared" si="40"/>
        <v>0</v>
      </c>
      <c r="AH176" t="b">
        <f t="shared" si="41"/>
        <v>0</v>
      </c>
    </row>
    <row r="177" spans="1:34" x14ac:dyDescent="0.2">
      <c r="A177" s="12" t="s">
        <v>258</v>
      </c>
      <c r="B177" s="12" t="s">
        <v>245</v>
      </c>
      <c r="C177" s="13" t="s">
        <v>245</v>
      </c>
      <c r="D177" s="18">
        <v>0</v>
      </c>
      <c r="E177" s="18">
        <v>2</v>
      </c>
      <c r="F177" s="18">
        <v>1</v>
      </c>
      <c r="G177" s="18">
        <v>2</v>
      </c>
      <c r="H177" s="18">
        <v>1</v>
      </c>
      <c r="I177" s="18">
        <v>0</v>
      </c>
      <c r="J177" s="19">
        <v>1</v>
      </c>
      <c r="K177" s="18">
        <v>1</v>
      </c>
      <c r="L177" s="18"/>
      <c r="M177" s="18">
        <v>1</v>
      </c>
      <c r="N177" s="18">
        <v>1</v>
      </c>
      <c r="O177" s="18">
        <v>0</v>
      </c>
      <c r="P177" s="18">
        <v>0</v>
      </c>
      <c r="Q177" s="17">
        <v>2</v>
      </c>
      <c r="R177">
        <v>6</v>
      </c>
      <c r="S177">
        <v>4</v>
      </c>
      <c r="T177">
        <v>1</v>
      </c>
      <c r="U177" s="14">
        <f t="shared" si="28"/>
        <v>13</v>
      </c>
      <c r="V177" t="b">
        <f t="shared" si="29"/>
        <v>1</v>
      </c>
      <c r="W177" t="b">
        <f t="shared" si="30"/>
        <v>1</v>
      </c>
      <c r="X177" t="b">
        <f t="shared" si="31"/>
        <v>0</v>
      </c>
      <c r="Y177" t="b">
        <f t="shared" si="32"/>
        <v>0</v>
      </c>
      <c r="Z177" t="b">
        <f t="shared" si="33"/>
        <v>0</v>
      </c>
      <c r="AA177" t="b">
        <f t="shared" si="34"/>
        <v>0</v>
      </c>
      <c r="AB177" t="b">
        <f t="shared" si="35"/>
        <v>0</v>
      </c>
      <c r="AC177" t="b">
        <f t="shared" si="36"/>
        <v>0</v>
      </c>
      <c r="AD177" t="b">
        <f t="shared" si="37"/>
        <v>0</v>
      </c>
      <c r="AE177" t="b">
        <f t="shared" si="38"/>
        <v>0</v>
      </c>
      <c r="AF177" t="b">
        <f t="shared" si="39"/>
        <v>0</v>
      </c>
      <c r="AG177" t="b">
        <f t="shared" si="40"/>
        <v>0</v>
      </c>
      <c r="AH177" t="b">
        <f t="shared" si="41"/>
        <v>0</v>
      </c>
    </row>
    <row r="178" spans="1:34" x14ac:dyDescent="0.2">
      <c r="A178" s="12" t="s">
        <v>259</v>
      </c>
      <c r="B178" s="12" t="s">
        <v>245</v>
      </c>
      <c r="C178" s="13" t="s">
        <v>245</v>
      </c>
      <c r="D178" s="18">
        <v>0</v>
      </c>
      <c r="E178" s="18">
        <v>2</v>
      </c>
      <c r="F178" s="18">
        <v>1</v>
      </c>
      <c r="G178" s="18">
        <v>2</v>
      </c>
      <c r="H178" s="18">
        <v>1</v>
      </c>
      <c r="I178" s="18">
        <v>2</v>
      </c>
      <c r="J178" s="19">
        <v>1</v>
      </c>
      <c r="K178" s="18">
        <v>1</v>
      </c>
      <c r="L178" s="18">
        <v>1</v>
      </c>
      <c r="M178" s="18">
        <v>1</v>
      </c>
      <c r="N178" s="18">
        <v>0</v>
      </c>
      <c r="O178" s="18">
        <v>2</v>
      </c>
      <c r="P178" s="18">
        <v>0</v>
      </c>
      <c r="Q178" s="17">
        <v>4</v>
      </c>
      <c r="R178">
        <v>6</v>
      </c>
      <c r="S178">
        <v>3</v>
      </c>
      <c r="T178">
        <v>0</v>
      </c>
      <c r="U178" s="14">
        <f t="shared" si="28"/>
        <v>13</v>
      </c>
      <c r="V178" t="b">
        <f t="shared" si="29"/>
        <v>1</v>
      </c>
      <c r="W178" t="b">
        <f t="shared" si="30"/>
        <v>1</v>
      </c>
      <c r="X178" t="b">
        <f t="shared" si="31"/>
        <v>1</v>
      </c>
      <c r="Y178" t="b">
        <f t="shared" si="32"/>
        <v>1</v>
      </c>
      <c r="Z178" t="b">
        <f t="shared" si="33"/>
        <v>0</v>
      </c>
      <c r="AA178" t="b">
        <f t="shared" si="34"/>
        <v>0</v>
      </c>
      <c r="AB178" t="b">
        <f t="shared" si="35"/>
        <v>0</v>
      </c>
      <c r="AC178" t="b">
        <f t="shared" si="36"/>
        <v>0</v>
      </c>
      <c r="AD178" t="b">
        <f t="shared" si="37"/>
        <v>0</v>
      </c>
      <c r="AE178" t="b">
        <f t="shared" si="38"/>
        <v>0</v>
      </c>
      <c r="AF178" t="b">
        <f t="shared" si="39"/>
        <v>0</v>
      </c>
      <c r="AG178" t="b">
        <f t="shared" si="40"/>
        <v>0</v>
      </c>
      <c r="AH178" t="b">
        <f t="shared" si="41"/>
        <v>0</v>
      </c>
    </row>
    <row r="179" spans="1:34" x14ac:dyDescent="0.2">
      <c r="A179" s="12" t="s">
        <v>260</v>
      </c>
      <c r="B179" s="12" t="s">
        <v>245</v>
      </c>
      <c r="C179" s="13" t="s">
        <v>245</v>
      </c>
      <c r="D179" s="18">
        <v>0</v>
      </c>
      <c r="E179" s="18">
        <v>2</v>
      </c>
      <c r="F179" s="18">
        <v>1</v>
      </c>
      <c r="G179" s="18">
        <v>2</v>
      </c>
      <c r="H179" s="18">
        <v>1</v>
      </c>
      <c r="I179" s="18">
        <v>0</v>
      </c>
      <c r="J179" s="19">
        <v>1</v>
      </c>
      <c r="K179" s="18">
        <v>1</v>
      </c>
      <c r="L179" s="18">
        <v>1</v>
      </c>
      <c r="M179" s="18">
        <v>1</v>
      </c>
      <c r="N179" s="18">
        <v>1</v>
      </c>
      <c r="O179" s="18">
        <v>2</v>
      </c>
      <c r="P179" s="18">
        <v>0</v>
      </c>
      <c r="Q179" s="17">
        <v>3</v>
      </c>
      <c r="R179">
        <v>7</v>
      </c>
      <c r="S179">
        <v>3</v>
      </c>
      <c r="T179">
        <v>0</v>
      </c>
      <c r="U179" s="14">
        <f t="shared" si="28"/>
        <v>13</v>
      </c>
      <c r="V179" t="b">
        <f t="shared" si="29"/>
        <v>1</v>
      </c>
      <c r="W179" t="b">
        <f t="shared" si="30"/>
        <v>1</v>
      </c>
      <c r="X179" t="b">
        <f t="shared" si="31"/>
        <v>1</v>
      </c>
      <c r="Y179" t="b">
        <f t="shared" si="32"/>
        <v>0</v>
      </c>
      <c r="Z179" t="b">
        <f t="shared" si="33"/>
        <v>0</v>
      </c>
      <c r="AA179" t="b">
        <f t="shared" si="34"/>
        <v>0</v>
      </c>
      <c r="AB179" t="b">
        <f t="shared" si="35"/>
        <v>0</v>
      </c>
      <c r="AC179" t="b">
        <f t="shared" si="36"/>
        <v>0</v>
      </c>
      <c r="AD179" t="b">
        <f t="shared" si="37"/>
        <v>0</v>
      </c>
      <c r="AE179" t="b">
        <f t="shared" si="38"/>
        <v>0</v>
      </c>
      <c r="AF179" t="b">
        <f t="shared" si="39"/>
        <v>0</v>
      </c>
      <c r="AG179" t="b">
        <f t="shared" si="40"/>
        <v>0</v>
      </c>
      <c r="AH179" t="b">
        <f t="shared" si="41"/>
        <v>0</v>
      </c>
    </row>
    <row r="180" spans="1:34" x14ac:dyDescent="0.2">
      <c r="A180" s="12" t="s">
        <v>261</v>
      </c>
      <c r="B180" s="12" t="s">
        <v>245</v>
      </c>
      <c r="C180" s="13" t="s">
        <v>245</v>
      </c>
      <c r="D180" s="18">
        <v>0</v>
      </c>
      <c r="E180" s="18">
        <v>2</v>
      </c>
      <c r="F180" s="18">
        <v>1</v>
      </c>
      <c r="G180" s="18">
        <v>2</v>
      </c>
      <c r="H180" s="18">
        <v>2</v>
      </c>
      <c r="I180" s="18">
        <v>0</v>
      </c>
      <c r="J180" s="19">
        <v>1</v>
      </c>
      <c r="K180" s="18">
        <v>1</v>
      </c>
      <c r="L180" s="18">
        <v>1</v>
      </c>
      <c r="M180" s="18">
        <v>1</v>
      </c>
      <c r="N180" s="18"/>
      <c r="O180" s="18">
        <v>2</v>
      </c>
      <c r="P180" s="18">
        <v>0</v>
      </c>
      <c r="Q180" s="17">
        <v>4</v>
      </c>
      <c r="R180">
        <v>5</v>
      </c>
      <c r="S180">
        <v>3</v>
      </c>
      <c r="T180">
        <v>1</v>
      </c>
      <c r="U180" s="14">
        <f t="shared" si="28"/>
        <v>13</v>
      </c>
      <c r="V180" t="b">
        <f t="shared" si="29"/>
        <v>1</v>
      </c>
      <c r="W180" t="b">
        <f t="shared" si="30"/>
        <v>1</v>
      </c>
      <c r="X180" t="b">
        <f t="shared" si="31"/>
        <v>1</v>
      </c>
      <c r="Y180" t="b">
        <f t="shared" si="32"/>
        <v>1</v>
      </c>
      <c r="Z180" t="b">
        <f t="shared" si="33"/>
        <v>0</v>
      </c>
      <c r="AA180" t="b">
        <f t="shared" si="34"/>
        <v>0</v>
      </c>
      <c r="AB180" t="b">
        <f t="shared" si="35"/>
        <v>0</v>
      </c>
      <c r="AC180" t="b">
        <f t="shared" si="36"/>
        <v>0</v>
      </c>
      <c r="AD180" t="b">
        <f t="shared" si="37"/>
        <v>0</v>
      </c>
      <c r="AE180" t="b">
        <f t="shared" si="38"/>
        <v>0</v>
      </c>
      <c r="AF180" t="b">
        <f t="shared" si="39"/>
        <v>0</v>
      </c>
      <c r="AG180" t="b">
        <f t="shared" si="40"/>
        <v>0</v>
      </c>
      <c r="AH180" t="b">
        <f t="shared" si="41"/>
        <v>0</v>
      </c>
    </row>
    <row r="181" spans="1:34" x14ac:dyDescent="0.2">
      <c r="A181" s="12" t="s">
        <v>262</v>
      </c>
      <c r="B181" s="12" t="s">
        <v>263</v>
      </c>
      <c r="C181" s="13" t="s">
        <v>39</v>
      </c>
      <c r="D181" s="18">
        <v>1</v>
      </c>
      <c r="E181" s="18">
        <v>0</v>
      </c>
      <c r="F181" s="18">
        <v>2</v>
      </c>
      <c r="G181" s="18">
        <v>2</v>
      </c>
      <c r="H181" s="18">
        <v>2</v>
      </c>
      <c r="I181" s="18">
        <v>0</v>
      </c>
      <c r="J181" s="19">
        <v>2</v>
      </c>
      <c r="K181" s="18">
        <v>2</v>
      </c>
      <c r="L181" s="18">
        <v>1</v>
      </c>
      <c r="M181" s="18">
        <v>2</v>
      </c>
      <c r="N181" s="18">
        <v>2</v>
      </c>
      <c r="O181" s="18">
        <v>2</v>
      </c>
      <c r="P181" s="18">
        <v>0</v>
      </c>
      <c r="Q181" s="17">
        <v>8</v>
      </c>
      <c r="R181">
        <v>2</v>
      </c>
      <c r="S181">
        <v>3</v>
      </c>
      <c r="T181">
        <v>0</v>
      </c>
      <c r="U181" s="14">
        <f t="shared" si="28"/>
        <v>13</v>
      </c>
      <c r="V181" t="b">
        <f t="shared" si="29"/>
        <v>1</v>
      </c>
      <c r="W181" t="b">
        <f t="shared" si="30"/>
        <v>1</v>
      </c>
      <c r="X181" t="b">
        <f t="shared" si="31"/>
        <v>1</v>
      </c>
      <c r="Y181" t="b">
        <f t="shared" si="32"/>
        <v>1</v>
      </c>
      <c r="Z181" t="b">
        <f t="shared" si="33"/>
        <v>1</v>
      </c>
      <c r="AA181" t="b">
        <f t="shared" si="34"/>
        <v>1</v>
      </c>
      <c r="AB181" t="b">
        <f t="shared" si="35"/>
        <v>1</v>
      </c>
      <c r="AC181" t="b">
        <f t="shared" si="36"/>
        <v>1</v>
      </c>
      <c r="AD181" t="b">
        <f t="shared" si="37"/>
        <v>0</v>
      </c>
      <c r="AE181" t="b">
        <f t="shared" si="38"/>
        <v>0</v>
      </c>
      <c r="AF181" t="b">
        <f t="shared" si="39"/>
        <v>0</v>
      </c>
      <c r="AG181" t="b">
        <f t="shared" si="40"/>
        <v>0</v>
      </c>
      <c r="AH181" t="b">
        <f t="shared" si="41"/>
        <v>0</v>
      </c>
    </row>
    <row r="182" spans="1:34" x14ac:dyDescent="0.2">
      <c r="A182" s="12" t="s">
        <v>264</v>
      </c>
      <c r="B182" s="12" t="s">
        <v>263</v>
      </c>
      <c r="C182" s="13" t="s">
        <v>39</v>
      </c>
      <c r="D182" s="18">
        <v>1</v>
      </c>
      <c r="E182" s="18">
        <v>0</v>
      </c>
      <c r="F182" s="18">
        <v>2</v>
      </c>
      <c r="G182" s="18">
        <v>2</v>
      </c>
      <c r="H182" s="18">
        <v>2</v>
      </c>
      <c r="I182" s="18">
        <v>0</v>
      </c>
      <c r="J182" s="19">
        <v>2</v>
      </c>
      <c r="K182" s="18">
        <v>2</v>
      </c>
      <c r="L182" s="18">
        <v>1</v>
      </c>
      <c r="M182" s="18">
        <v>0</v>
      </c>
      <c r="N182" s="18">
        <v>0</v>
      </c>
      <c r="O182" s="18">
        <v>2</v>
      </c>
      <c r="P182" s="18">
        <v>0</v>
      </c>
      <c r="Q182" s="17">
        <v>6</v>
      </c>
      <c r="R182">
        <v>2</v>
      </c>
      <c r="S182">
        <v>5</v>
      </c>
      <c r="T182">
        <v>0</v>
      </c>
      <c r="U182" s="14">
        <f t="shared" si="28"/>
        <v>13</v>
      </c>
      <c r="V182" t="b">
        <f t="shared" si="29"/>
        <v>1</v>
      </c>
      <c r="W182" t="b">
        <f t="shared" si="30"/>
        <v>1</v>
      </c>
      <c r="X182" t="b">
        <f t="shared" si="31"/>
        <v>1</v>
      </c>
      <c r="Y182" t="b">
        <f t="shared" si="32"/>
        <v>1</v>
      </c>
      <c r="Z182" t="b">
        <f t="shared" si="33"/>
        <v>1</v>
      </c>
      <c r="AA182" t="b">
        <f t="shared" si="34"/>
        <v>1</v>
      </c>
      <c r="AB182" t="b">
        <f t="shared" si="35"/>
        <v>0</v>
      </c>
      <c r="AC182" t="b">
        <f t="shared" si="36"/>
        <v>0</v>
      </c>
      <c r="AD182" t="b">
        <f t="shared" si="37"/>
        <v>0</v>
      </c>
      <c r="AE182" t="b">
        <f t="shared" si="38"/>
        <v>0</v>
      </c>
      <c r="AF182" t="b">
        <f t="shared" si="39"/>
        <v>0</v>
      </c>
      <c r="AG182" t="b">
        <f t="shared" si="40"/>
        <v>0</v>
      </c>
      <c r="AH182" t="b">
        <f t="shared" si="41"/>
        <v>0</v>
      </c>
    </row>
    <row r="183" spans="1:34" x14ac:dyDescent="0.2">
      <c r="A183" s="12" t="s">
        <v>265</v>
      </c>
      <c r="B183" s="12" t="s">
        <v>266</v>
      </c>
      <c r="C183" s="13" t="s">
        <v>266</v>
      </c>
      <c r="D183" s="18">
        <v>0</v>
      </c>
      <c r="E183" s="18">
        <v>1</v>
      </c>
      <c r="F183" s="18">
        <v>2</v>
      </c>
      <c r="G183" s="18">
        <v>0</v>
      </c>
      <c r="H183" s="18">
        <v>0</v>
      </c>
      <c r="I183" s="18">
        <v>0</v>
      </c>
      <c r="J183" s="19">
        <v>1</v>
      </c>
      <c r="K183" s="18">
        <v>1</v>
      </c>
      <c r="L183" s="18">
        <v>1</v>
      </c>
      <c r="M183" s="18">
        <v>0</v>
      </c>
      <c r="N183" s="18"/>
      <c r="O183" s="18"/>
      <c r="P183" s="18">
        <v>0</v>
      </c>
      <c r="Q183" s="17">
        <v>1</v>
      </c>
      <c r="R183">
        <v>4</v>
      </c>
      <c r="S183">
        <v>6</v>
      </c>
      <c r="T183">
        <v>2</v>
      </c>
      <c r="U183" s="14">
        <f t="shared" si="28"/>
        <v>13</v>
      </c>
      <c r="V183" t="b">
        <f t="shared" si="29"/>
        <v>1</v>
      </c>
      <c r="W183" t="b">
        <f t="shared" si="30"/>
        <v>0</v>
      </c>
      <c r="X183" t="b">
        <f t="shared" si="31"/>
        <v>0</v>
      </c>
      <c r="Y183" t="b">
        <f t="shared" si="32"/>
        <v>0</v>
      </c>
      <c r="Z183" t="b">
        <f t="shared" si="33"/>
        <v>0</v>
      </c>
      <c r="AA183" t="b">
        <f t="shared" si="34"/>
        <v>0</v>
      </c>
      <c r="AB183" t="b">
        <f t="shared" si="35"/>
        <v>0</v>
      </c>
      <c r="AC183" t="b">
        <f t="shared" si="36"/>
        <v>0</v>
      </c>
      <c r="AD183" t="b">
        <f t="shared" si="37"/>
        <v>0</v>
      </c>
      <c r="AE183" t="b">
        <f t="shared" si="38"/>
        <v>0</v>
      </c>
      <c r="AF183" t="b">
        <f t="shared" si="39"/>
        <v>0</v>
      </c>
      <c r="AG183" t="b">
        <f t="shared" si="40"/>
        <v>0</v>
      </c>
      <c r="AH183" t="b">
        <f t="shared" si="41"/>
        <v>0</v>
      </c>
    </row>
    <row r="184" spans="1:34" x14ac:dyDescent="0.2">
      <c r="A184" s="12" t="s">
        <v>57</v>
      </c>
      <c r="B184" s="12" t="s">
        <v>266</v>
      </c>
      <c r="C184" s="13" t="s">
        <v>266</v>
      </c>
      <c r="D184" s="18">
        <v>0</v>
      </c>
      <c r="E184" s="18">
        <v>2</v>
      </c>
      <c r="F184" s="18">
        <v>1</v>
      </c>
      <c r="G184" s="18">
        <v>0</v>
      </c>
      <c r="H184" s="18">
        <v>0</v>
      </c>
      <c r="I184" s="18">
        <v>0</v>
      </c>
      <c r="J184" s="19">
        <v>0</v>
      </c>
      <c r="K184" s="18">
        <v>0</v>
      </c>
      <c r="L184" s="18">
        <v>0</v>
      </c>
      <c r="M184" s="18">
        <v>0</v>
      </c>
      <c r="N184" s="18">
        <v>0</v>
      </c>
      <c r="O184" s="18">
        <v>0</v>
      </c>
      <c r="P184" s="18">
        <v>0</v>
      </c>
      <c r="Q184" s="17">
        <v>1</v>
      </c>
      <c r="R184">
        <v>1</v>
      </c>
      <c r="S184">
        <v>11</v>
      </c>
      <c r="T184">
        <v>0</v>
      </c>
      <c r="U184" s="14">
        <f t="shared" si="28"/>
        <v>13</v>
      </c>
      <c r="V184" t="b">
        <f t="shared" si="29"/>
        <v>1</v>
      </c>
      <c r="W184" t="b">
        <f t="shared" si="30"/>
        <v>0</v>
      </c>
      <c r="X184" t="b">
        <f t="shared" si="31"/>
        <v>0</v>
      </c>
      <c r="Y184" t="b">
        <f t="shared" si="32"/>
        <v>0</v>
      </c>
      <c r="Z184" t="b">
        <f t="shared" si="33"/>
        <v>0</v>
      </c>
      <c r="AA184" t="b">
        <f t="shared" si="34"/>
        <v>0</v>
      </c>
      <c r="AB184" t="b">
        <f t="shared" si="35"/>
        <v>0</v>
      </c>
      <c r="AC184" t="b">
        <f t="shared" si="36"/>
        <v>0</v>
      </c>
      <c r="AD184" t="b">
        <f t="shared" si="37"/>
        <v>0</v>
      </c>
      <c r="AE184" t="b">
        <f t="shared" si="38"/>
        <v>0</v>
      </c>
      <c r="AF184" t="b">
        <f t="shared" si="39"/>
        <v>0</v>
      </c>
      <c r="AG184" t="b">
        <f t="shared" si="40"/>
        <v>0</v>
      </c>
      <c r="AH184" t="b">
        <f t="shared" si="41"/>
        <v>0</v>
      </c>
    </row>
    <row r="185" spans="1:34" x14ac:dyDescent="0.2">
      <c r="A185" s="12" t="s">
        <v>267</v>
      </c>
      <c r="B185" s="12" t="s">
        <v>146</v>
      </c>
      <c r="C185" s="13" t="s">
        <v>146</v>
      </c>
      <c r="D185" s="18">
        <v>2</v>
      </c>
      <c r="E185" s="18">
        <v>2</v>
      </c>
      <c r="F185" s="18">
        <v>2</v>
      </c>
      <c r="G185" s="18">
        <v>2</v>
      </c>
      <c r="H185" s="18">
        <v>2</v>
      </c>
      <c r="I185" s="18">
        <v>0</v>
      </c>
      <c r="J185" s="19">
        <v>1</v>
      </c>
      <c r="K185" s="18">
        <v>0</v>
      </c>
      <c r="L185" s="18">
        <v>1</v>
      </c>
      <c r="M185" s="18">
        <v>2</v>
      </c>
      <c r="N185" s="18">
        <v>2</v>
      </c>
      <c r="O185" s="18">
        <v>2</v>
      </c>
      <c r="P185" s="18">
        <v>2</v>
      </c>
      <c r="Q185" s="17">
        <v>9</v>
      </c>
      <c r="R185">
        <v>2</v>
      </c>
      <c r="S185">
        <v>2</v>
      </c>
      <c r="T185">
        <v>0</v>
      </c>
      <c r="U185" s="14">
        <f t="shared" si="28"/>
        <v>13</v>
      </c>
      <c r="V185" t="b">
        <f t="shared" si="29"/>
        <v>1</v>
      </c>
      <c r="W185" t="b">
        <f t="shared" si="30"/>
        <v>1</v>
      </c>
      <c r="X185" t="b">
        <f t="shared" si="31"/>
        <v>1</v>
      </c>
      <c r="Y185" t="b">
        <f t="shared" si="32"/>
        <v>1</v>
      </c>
      <c r="Z185" t="b">
        <f t="shared" si="33"/>
        <v>1</v>
      </c>
      <c r="AA185" t="b">
        <f t="shared" si="34"/>
        <v>1</v>
      </c>
      <c r="AB185" t="b">
        <f t="shared" si="35"/>
        <v>1</v>
      </c>
      <c r="AC185" t="b">
        <f t="shared" si="36"/>
        <v>1</v>
      </c>
      <c r="AD185" t="b">
        <f t="shared" si="37"/>
        <v>1</v>
      </c>
      <c r="AE185" t="b">
        <f t="shared" si="38"/>
        <v>0</v>
      </c>
      <c r="AF185" t="b">
        <f t="shared" si="39"/>
        <v>0</v>
      </c>
      <c r="AG185" t="b">
        <f t="shared" si="40"/>
        <v>0</v>
      </c>
      <c r="AH185" t="b">
        <f t="shared" si="41"/>
        <v>0</v>
      </c>
    </row>
    <row r="186" spans="1:34" x14ac:dyDescent="0.2">
      <c r="A186" s="12" t="s">
        <v>268</v>
      </c>
      <c r="B186" s="12" t="s">
        <v>71</v>
      </c>
      <c r="C186" s="13" t="s">
        <v>39</v>
      </c>
      <c r="D186" s="18"/>
      <c r="E186" s="18">
        <v>0</v>
      </c>
      <c r="F186" s="18">
        <v>2</v>
      </c>
      <c r="G186" s="18">
        <v>2</v>
      </c>
      <c r="H186" s="18">
        <v>0</v>
      </c>
      <c r="I186" s="18">
        <v>0</v>
      </c>
      <c r="J186" s="19">
        <v>1</v>
      </c>
      <c r="K186" s="18">
        <v>1</v>
      </c>
      <c r="L186" s="18">
        <v>1</v>
      </c>
      <c r="M186" s="18">
        <v>1</v>
      </c>
      <c r="N186" s="18"/>
      <c r="O186" s="18">
        <v>2</v>
      </c>
      <c r="P186" s="18">
        <v>0</v>
      </c>
      <c r="Q186" s="17">
        <v>3</v>
      </c>
      <c r="R186">
        <v>4</v>
      </c>
      <c r="S186">
        <v>4</v>
      </c>
      <c r="T186">
        <v>2</v>
      </c>
      <c r="U186" s="14">
        <f t="shared" si="28"/>
        <v>13</v>
      </c>
      <c r="V186" t="b">
        <f t="shared" si="29"/>
        <v>1</v>
      </c>
      <c r="W186" t="b">
        <f t="shared" si="30"/>
        <v>1</v>
      </c>
      <c r="X186" t="b">
        <f t="shared" si="31"/>
        <v>1</v>
      </c>
      <c r="Y186" t="b">
        <f t="shared" si="32"/>
        <v>0</v>
      </c>
      <c r="Z186" t="b">
        <f t="shared" si="33"/>
        <v>0</v>
      </c>
      <c r="AA186" t="b">
        <f t="shared" si="34"/>
        <v>0</v>
      </c>
      <c r="AB186" t="b">
        <f t="shared" si="35"/>
        <v>0</v>
      </c>
      <c r="AC186" t="b">
        <f t="shared" si="36"/>
        <v>0</v>
      </c>
      <c r="AD186" t="b">
        <f t="shared" si="37"/>
        <v>0</v>
      </c>
      <c r="AE186" t="b">
        <f t="shared" si="38"/>
        <v>0</v>
      </c>
      <c r="AF186" t="b">
        <f t="shared" si="39"/>
        <v>0</v>
      </c>
      <c r="AG186" t="b">
        <f t="shared" si="40"/>
        <v>0</v>
      </c>
      <c r="AH186" t="b">
        <f t="shared" si="41"/>
        <v>0</v>
      </c>
    </row>
    <row r="187" spans="1:34" x14ac:dyDescent="0.2">
      <c r="A187" s="12" t="s">
        <v>269</v>
      </c>
      <c r="B187" s="12" t="s">
        <v>71</v>
      </c>
      <c r="C187" s="13" t="s">
        <v>39</v>
      </c>
      <c r="D187" s="18">
        <v>2</v>
      </c>
      <c r="E187" s="18">
        <v>2</v>
      </c>
      <c r="F187" s="18">
        <v>2</v>
      </c>
      <c r="G187" s="18">
        <v>2</v>
      </c>
      <c r="H187" s="18">
        <v>2</v>
      </c>
      <c r="I187" s="18">
        <v>1</v>
      </c>
      <c r="J187" s="19">
        <v>2</v>
      </c>
      <c r="K187" s="18">
        <v>2</v>
      </c>
      <c r="L187" s="18">
        <v>1</v>
      </c>
      <c r="M187" s="18">
        <v>2</v>
      </c>
      <c r="N187" s="18">
        <v>2</v>
      </c>
      <c r="O187" s="18">
        <v>2</v>
      </c>
      <c r="P187" s="18">
        <v>2</v>
      </c>
      <c r="Q187" s="17">
        <v>11</v>
      </c>
      <c r="R187">
        <v>2</v>
      </c>
      <c r="S187">
        <v>0</v>
      </c>
      <c r="T187">
        <v>0</v>
      </c>
      <c r="U187" s="14">
        <f t="shared" si="28"/>
        <v>13</v>
      </c>
      <c r="V187" t="b">
        <f t="shared" si="29"/>
        <v>1</v>
      </c>
      <c r="W187" t="b">
        <f t="shared" si="30"/>
        <v>1</v>
      </c>
      <c r="X187" t="b">
        <f t="shared" si="31"/>
        <v>1</v>
      </c>
      <c r="Y187" t="b">
        <f t="shared" si="32"/>
        <v>1</v>
      </c>
      <c r="Z187" t="b">
        <f t="shared" si="33"/>
        <v>1</v>
      </c>
      <c r="AA187" t="b">
        <f t="shared" si="34"/>
        <v>1</v>
      </c>
      <c r="AB187" t="b">
        <f t="shared" si="35"/>
        <v>1</v>
      </c>
      <c r="AC187" t="b">
        <f t="shared" si="36"/>
        <v>1</v>
      </c>
      <c r="AD187" t="b">
        <f t="shared" si="37"/>
        <v>1</v>
      </c>
      <c r="AE187" t="b">
        <f t="shared" si="38"/>
        <v>1</v>
      </c>
      <c r="AF187" t="b">
        <f t="shared" si="39"/>
        <v>1</v>
      </c>
      <c r="AG187" t="b">
        <f t="shared" si="40"/>
        <v>0</v>
      </c>
      <c r="AH187" t="b">
        <f t="shared" si="41"/>
        <v>0</v>
      </c>
    </row>
    <row r="188" spans="1:34" x14ac:dyDescent="0.2">
      <c r="A188" s="12" t="s">
        <v>72</v>
      </c>
      <c r="B188" s="12" t="s">
        <v>71</v>
      </c>
      <c r="C188" s="13" t="s">
        <v>39</v>
      </c>
      <c r="D188" s="18">
        <v>2</v>
      </c>
      <c r="E188" s="18">
        <v>1</v>
      </c>
      <c r="F188" s="18">
        <v>2</v>
      </c>
      <c r="G188" s="18">
        <v>2</v>
      </c>
      <c r="H188" s="18">
        <v>2</v>
      </c>
      <c r="I188" s="18">
        <v>2</v>
      </c>
      <c r="J188" s="19">
        <v>2</v>
      </c>
      <c r="K188" s="18">
        <v>2</v>
      </c>
      <c r="L188" s="18">
        <v>1</v>
      </c>
      <c r="M188" s="18">
        <v>2</v>
      </c>
      <c r="N188" s="18">
        <v>2</v>
      </c>
      <c r="O188" s="18">
        <v>2</v>
      </c>
      <c r="P188" s="18">
        <v>2</v>
      </c>
      <c r="Q188" s="17">
        <v>11</v>
      </c>
      <c r="R188">
        <v>2</v>
      </c>
      <c r="S188">
        <v>0</v>
      </c>
      <c r="T188">
        <v>0</v>
      </c>
      <c r="U188" s="14">
        <f t="shared" si="28"/>
        <v>13</v>
      </c>
      <c r="V188" t="b">
        <f t="shared" si="29"/>
        <v>1</v>
      </c>
      <c r="W188" t="b">
        <f t="shared" si="30"/>
        <v>1</v>
      </c>
      <c r="X188" t="b">
        <f t="shared" si="31"/>
        <v>1</v>
      </c>
      <c r="Y188" t="b">
        <f t="shared" si="32"/>
        <v>1</v>
      </c>
      <c r="Z188" t="b">
        <f t="shared" si="33"/>
        <v>1</v>
      </c>
      <c r="AA188" t="b">
        <f t="shared" si="34"/>
        <v>1</v>
      </c>
      <c r="AB188" t="b">
        <f t="shared" si="35"/>
        <v>1</v>
      </c>
      <c r="AC188" t="b">
        <f t="shared" si="36"/>
        <v>1</v>
      </c>
      <c r="AD188" t="b">
        <f t="shared" si="37"/>
        <v>1</v>
      </c>
      <c r="AE188" t="b">
        <f t="shared" si="38"/>
        <v>1</v>
      </c>
      <c r="AF188" t="b">
        <f t="shared" si="39"/>
        <v>1</v>
      </c>
      <c r="AG188" t="b">
        <f t="shared" si="40"/>
        <v>0</v>
      </c>
      <c r="AH188" t="b">
        <f t="shared" si="41"/>
        <v>0</v>
      </c>
    </row>
    <row r="189" spans="1:34" x14ac:dyDescent="0.2">
      <c r="A189" s="12" t="s">
        <v>270</v>
      </c>
      <c r="B189" s="12" t="s">
        <v>71</v>
      </c>
      <c r="C189" s="13" t="s">
        <v>39</v>
      </c>
      <c r="D189" s="18">
        <v>1</v>
      </c>
      <c r="E189" s="18">
        <v>1</v>
      </c>
      <c r="F189" s="18">
        <v>2</v>
      </c>
      <c r="G189" s="18">
        <v>2</v>
      </c>
      <c r="H189" s="18">
        <v>1</v>
      </c>
      <c r="I189" s="18">
        <v>2</v>
      </c>
      <c r="J189" s="19">
        <v>1</v>
      </c>
      <c r="K189" s="18">
        <v>1</v>
      </c>
      <c r="L189" s="18">
        <v>1</v>
      </c>
      <c r="M189" s="18">
        <v>2</v>
      </c>
      <c r="N189" s="18"/>
      <c r="O189" s="18">
        <v>2</v>
      </c>
      <c r="P189" s="18">
        <v>0</v>
      </c>
      <c r="Q189" s="17">
        <v>5</v>
      </c>
      <c r="R189">
        <v>6</v>
      </c>
      <c r="S189">
        <v>1</v>
      </c>
      <c r="T189">
        <v>1</v>
      </c>
      <c r="U189" s="14">
        <f t="shared" si="28"/>
        <v>13</v>
      </c>
      <c r="V189" t="b">
        <f t="shared" si="29"/>
        <v>1</v>
      </c>
      <c r="W189" t="b">
        <f t="shared" si="30"/>
        <v>1</v>
      </c>
      <c r="X189" t="b">
        <f t="shared" si="31"/>
        <v>1</v>
      </c>
      <c r="Y189" t="b">
        <f t="shared" si="32"/>
        <v>1</v>
      </c>
      <c r="Z189" t="b">
        <f t="shared" si="33"/>
        <v>1</v>
      </c>
      <c r="AA189" t="b">
        <f t="shared" si="34"/>
        <v>0</v>
      </c>
      <c r="AB189" t="b">
        <f t="shared" si="35"/>
        <v>0</v>
      </c>
      <c r="AC189" t="b">
        <f t="shared" si="36"/>
        <v>0</v>
      </c>
      <c r="AD189" t="b">
        <f t="shared" si="37"/>
        <v>0</v>
      </c>
      <c r="AE189" t="b">
        <f t="shared" si="38"/>
        <v>0</v>
      </c>
      <c r="AF189" t="b">
        <f t="shared" si="39"/>
        <v>0</v>
      </c>
      <c r="AG189" t="b">
        <f t="shared" si="40"/>
        <v>0</v>
      </c>
      <c r="AH189" t="b">
        <f t="shared" si="41"/>
        <v>0</v>
      </c>
    </row>
    <row r="190" spans="1:34" x14ac:dyDescent="0.2">
      <c r="A190" s="12" t="s">
        <v>70</v>
      </c>
      <c r="B190" s="12" t="s">
        <v>71</v>
      </c>
      <c r="C190" s="13" t="s">
        <v>39</v>
      </c>
      <c r="D190" s="18">
        <v>0</v>
      </c>
      <c r="E190" s="18">
        <v>2</v>
      </c>
      <c r="F190" s="18">
        <v>2</v>
      </c>
      <c r="G190" s="18">
        <v>1</v>
      </c>
      <c r="H190" s="18">
        <v>0</v>
      </c>
      <c r="I190" s="18">
        <v>0</v>
      </c>
      <c r="J190" s="19">
        <v>2</v>
      </c>
      <c r="K190" s="18">
        <v>0</v>
      </c>
      <c r="L190" s="18">
        <v>0</v>
      </c>
      <c r="M190" s="18">
        <v>0</v>
      </c>
      <c r="N190" s="18">
        <v>0</v>
      </c>
      <c r="O190" s="18">
        <v>2</v>
      </c>
      <c r="P190" s="18">
        <v>0</v>
      </c>
      <c r="Q190" s="17">
        <v>4</v>
      </c>
      <c r="R190">
        <v>1</v>
      </c>
      <c r="S190">
        <v>8</v>
      </c>
      <c r="T190">
        <v>0</v>
      </c>
      <c r="U190" s="14">
        <f t="shared" si="28"/>
        <v>13</v>
      </c>
      <c r="V190" t="b">
        <f t="shared" si="29"/>
        <v>1</v>
      </c>
      <c r="W190" t="b">
        <f t="shared" si="30"/>
        <v>1</v>
      </c>
      <c r="X190" t="b">
        <f t="shared" si="31"/>
        <v>1</v>
      </c>
      <c r="Y190" t="b">
        <f t="shared" si="32"/>
        <v>1</v>
      </c>
      <c r="Z190" t="b">
        <f t="shared" si="33"/>
        <v>0</v>
      </c>
      <c r="AA190" t="b">
        <f t="shared" si="34"/>
        <v>0</v>
      </c>
      <c r="AB190" t="b">
        <f t="shared" si="35"/>
        <v>0</v>
      </c>
      <c r="AC190" t="b">
        <f t="shared" si="36"/>
        <v>0</v>
      </c>
      <c r="AD190" t="b">
        <f t="shared" si="37"/>
        <v>0</v>
      </c>
      <c r="AE190" t="b">
        <f t="shared" si="38"/>
        <v>0</v>
      </c>
      <c r="AF190" t="b">
        <f t="shared" si="39"/>
        <v>0</v>
      </c>
      <c r="AG190" t="b">
        <f t="shared" si="40"/>
        <v>0</v>
      </c>
      <c r="AH190" t="b">
        <f t="shared" si="41"/>
        <v>0</v>
      </c>
    </row>
    <row r="191" spans="1:34" x14ac:dyDescent="0.2">
      <c r="A191" s="12" t="s">
        <v>271</v>
      </c>
      <c r="B191" s="12" t="s">
        <v>151</v>
      </c>
      <c r="C191" s="13" t="s">
        <v>151</v>
      </c>
      <c r="D191" s="18">
        <v>0</v>
      </c>
      <c r="E191" s="18">
        <v>2</v>
      </c>
      <c r="F191" s="18">
        <v>1</v>
      </c>
      <c r="G191" s="18">
        <v>1</v>
      </c>
      <c r="H191" s="18">
        <v>1</v>
      </c>
      <c r="I191" s="18">
        <v>0</v>
      </c>
      <c r="J191" s="19">
        <v>1</v>
      </c>
      <c r="K191" s="18">
        <v>0</v>
      </c>
      <c r="L191" s="18">
        <v>1</v>
      </c>
      <c r="M191" s="18">
        <v>1</v>
      </c>
      <c r="N191" s="18">
        <v>0</v>
      </c>
      <c r="O191" s="18">
        <v>0</v>
      </c>
      <c r="P191" s="18">
        <v>0</v>
      </c>
      <c r="Q191" s="17">
        <v>1</v>
      </c>
      <c r="R191">
        <v>6</v>
      </c>
      <c r="S191">
        <v>6</v>
      </c>
      <c r="T191">
        <v>0</v>
      </c>
      <c r="U191" s="14">
        <f t="shared" si="28"/>
        <v>13</v>
      </c>
      <c r="V191" t="b">
        <f t="shared" si="29"/>
        <v>1</v>
      </c>
      <c r="W191" t="b">
        <f t="shared" si="30"/>
        <v>0</v>
      </c>
      <c r="X191" t="b">
        <f t="shared" si="31"/>
        <v>0</v>
      </c>
      <c r="Y191" t="b">
        <f t="shared" si="32"/>
        <v>0</v>
      </c>
      <c r="Z191" t="b">
        <f t="shared" si="33"/>
        <v>0</v>
      </c>
      <c r="AA191" t="b">
        <f t="shared" si="34"/>
        <v>0</v>
      </c>
      <c r="AB191" t="b">
        <f t="shared" si="35"/>
        <v>0</v>
      </c>
      <c r="AC191" t="b">
        <f t="shared" si="36"/>
        <v>0</v>
      </c>
      <c r="AD191" t="b">
        <f t="shared" si="37"/>
        <v>0</v>
      </c>
      <c r="AE191" t="b">
        <f t="shared" si="38"/>
        <v>0</v>
      </c>
      <c r="AF191" t="b">
        <f t="shared" si="39"/>
        <v>0</v>
      </c>
      <c r="AG191" t="b">
        <f t="shared" si="40"/>
        <v>0</v>
      </c>
      <c r="AH191" t="b">
        <f t="shared" si="41"/>
        <v>0</v>
      </c>
    </row>
    <row r="192" spans="1:34" x14ac:dyDescent="0.2">
      <c r="A192" s="12" t="s">
        <v>272</v>
      </c>
      <c r="B192" s="12" t="s">
        <v>151</v>
      </c>
      <c r="C192" s="13" t="s">
        <v>151</v>
      </c>
      <c r="D192" s="18">
        <v>0</v>
      </c>
      <c r="E192" s="18">
        <v>2</v>
      </c>
      <c r="F192" s="18">
        <v>1</v>
      </c>
      <c r="G192" s="18">
        <v>1</v>
      </c>
      <c r="H192" s="18">
        <v>0</v>
      </c>
      <c r="I192" s="18">
        <v>2</v>
      </c>
      <c r="J192" s="19">
        <v>1</v>
      </c>
      <c r="K192" s="18">
        <v>0</v>
      </c>
      <c r="L192" s="18">
        <v>1</v>
      </c>
      <c r="M192" s="18">
        <v>0</v>
      </c>
      <c r="N192" s="18">
        <v>0</v>
      </c>
      <c r="O192" s="18">
        <v>0</v>
      </c>
      <c r="P192" s="18">
        <v>0</v>
      </c>
      <c r="Q192" s="17">
        <v>2</v>
      </c>
      <c r="R192">
        <v>4</v>
      </c>
      <c r="S192">
        <v>7</v>
      </c>
      <c r="T192">
        <v>0</v>
      </c>
      <c r="U192" s="14">
        <f t="shared" si="28"/>
        <v>13</v>
      </c>
      <c r="V192" t="b">
        <f t="shared" si="29"/>
        <v>1</v>
      </c>
      <c r="W192" t="b">
        <f t="shared" si="30"/>
        <v>1</v>
      </c>
      <c r="X192" t="b">
        <f t="shared" si="31"/>
        <v>0</v>
      </c>
      <c r="Y192" t="b">
        <f t="shared" si="32"/>
        <v>0</v>
      </c>
      <c r="Z192" t="b">
        <f t="shared" si="33"/>
        <v>0</v>
      </c>
      <c r="AA192" t="b">
        <f t="shared" si="34"/>
        <v>0</v>
      </c>
      <c r="AB192" t="b">
        <f t="shared" si="35"/>
        <v>0</v>
      </c>
      <c r="AC192" t="b">
        <f t="shared" si="36"/>
        <v>0</v>
      </c>
      <c r="AD192" t="b">
        <f t="shared" si="37"/>
        <v>0</v>
      </c>
      <c r="AE192" t="b">
        <f t="shared" si="38"/>
        <v>0</v>
      </c>
      <c r="AF192" t="b">
        <f t="shared" si="39"/>
        <v>0</v>
      </c>
      <c r="AG192" t="b">
        <f t="shared" si="40"/>
        <v>0</v>
      </c>
      <c r="AH192" t="b">
        <f t="shared" si="41"/>
        <v>0</v>
      </c>
    </row>
    <row r="193" spans="1:34" x14ac:dyDescent="0.2">
      <c r="A193" s="12" t="s">
        <v>273</v>
      </c>
      <c r="B193" s="12" t="s">
        <v>274</v>
      </c>
      <c r="C193" s="13" t="s">
        <v>275</v>
      </c>
      <c r="D193" s="18">
        <v>0</v>
      </c>
      <c r="E193" s="18">
        <v>0</v>
      </c>
      <c r="F193" s="18">
        <v>2</v>
      </c>
      <c r="G193" s="18">
        <v>2</v>
      </c>
      <c r="H193" s="18">
        <v>1</v>
      </c>
      <c r="I193" s="18">
        <v>2</v>
      </c>
      <c r="J193" s="19">
        <v>1</v>
      </c>
      <c r="K193" s="18">
        <v>1</v>
      </c>
      <c r="L193" s="18">
        <v>1</v>
      </c>
      <c r="M193" s="18">
        <v>1</v>
      </c>
      <c r="N193" s="18">
        <v>0</v>
      </c>
      <c r="O193" s="18">
        <v>1</v>
      </c>
      <c r="P193" s="18">
        <v>1</v>
      </c>
      <c r="Q193" s="17">
        <v>3</v>
      </c>
      <c r="R193">
        <v>7</v>
      </c>
      <c r="S193">
        <v>3</v>
      </c>
      <c r="T193">
        <v>0</v>
      </c>
      <c r="U193" s="14">
        <f t="shared" si="28"/>
        <v>13</v>
      </c>
      <c r="V193" t="b">
        <f t="shared" si="29"/>
        <v>1</v>
      </c>
      <c r="W193" t="b">
        <f t="shared" si="30"/>
        <v>1</v>
      </c>
      <c r="X193" t="b">
        <f t="shared" si="31"/>
        <v>1</v>
      </c>
      <c r="Y193" t="b">
        <f t="shared" si="32"/>
        <v>0</v>
      </c>
      <c r="Z193" t="b">
        <f t="shared" si="33"/>
        <v>0</v>
      </c>
      <c r="AA193" t="b">
        <f t="shared" si="34"/>
        <v>0</v>
      </c>
      <c r="AB193" t="b">
        <f t="shared" si="35"/>
        <v>0</v>
      </c>
      <c r="AC193" t="b">
        <f t="shared" si="36"/>
        <v>0</v>
      </c>
      <c r="AD193" t="b">
        <f t="shared" si="37"/>
        <v>0</v>
      </c>
      <c r="AE193" t="b">
        <f t="shared" si="38"/>
        <v>0</v>
      </c>
      <c r="AF193" t="b">
        <f t="shared" si="39"/>
        <v>0</v>
      </c>
      <c r="AG193" t="b">
        <f t="shared" si="40"/>
        <v>0</v>
      </c>
      <c r="AH193" t="b">
        <f t="shared" si="41"/>
        <v>0</v>
      </c>
    </row>
    <row r="194" spans="1:34" x14ac:dyDescent="0.2">
      <c r="A194" s="12" t="s">
        <v>276</v>
      </c>
      <c r="B194" s="12" t="s">
        <v>274</v>
      </c>
      <c r="C194" s="13" t="s">
        <v>275</v>
      </c>
      <c r="D194" s="18">
        <v>1</v>
      </c>
      <c r="E194" s="18">
        <v>1</v>
      </c>
      <c r="F194" s="18">
        <v>1</v>
      </c>
      <c r="G194" s="18">
        <v>2</v>
      </c>
      <c r="H194" s="18">
        <v>1</v>
      </c>
      <c r="I194" s="18">
        <v>0</v>
      </c>
      <c r="J194" s="19">
        <v>0</v>
      </c>
      <c r="K194" s="18">
        <v>1</v>
      </c>
      <c r="L194" s="18">
        <v>1</v>
      </c>
      <c r="M194" s="18">
        <v>0</v>
      </c>
      <c r="N194" s="18">
        <v>1</v>
      </c>
      <c r="O194" s="18">
        <v>1</v>
      </c>
      <c r="P194" s="18">
        <v>0</v>
      </c>
      <c r="Q194" s="17">
        <v>1</v>
      </c>
      <c r="R194">
        <v>8</v>
      </c>
      <c r="S194">
        <v>4</v>
      </c>
      <c r="T194">
        <v>0</v>
      </c>
      <c r="U194" s="14">
        <f t="shared" si="28"/>
        <v>13</v>
      </c>
      <c r="V194" t="b">
        <f t="shared" si="29"/>
        <v>1</v>
      </c>
      <c r="W194" t="b">
        <f t="shared" si="30"/>
        <v>0</v>
      </c>
      <c r="X194" t="b">
        <f t="shared" si="31"/>
        <v>0</v>
      </c>
      <c r="Y194" t="b">
        <f t="shared" si="32"/>
        <v>0</v>
      </c>
      <c r="Z194" t="b">
        <f t="shared" si="33"/>
        <v>0</v>
      </c>
      <c r="AA194" t="b">
        <f t="shared" si="34"/>
        <v>0</v>
      </c>
      <c r="AB194" t="b">
        <f t="shared" si="35"/>
        <v>0</v>
      </c>
      <c r="AC194" t="b">
        <f t="shared" si="36"/>
        <v>0</v>
      </c>
      <c r="AD194" t="b">
        <f t="shared" si="37"/>
        <v>0</v>
      </c>
      <c r="AE194" t="b">
        <f t="shared" si="38"/>
        <v>0</v>
      </c>
      <c r="AF194" t="b">
        <f t="shared" si="39"/>
        <v>0</v>
      </c>
      <c r="AG194" t="b">
        <f t="shared" si="40"/>
        <v>0</v>
      </c>
      <c r="AH194" t="b">
        <f t="shared" si="41"/>
        <v>0</v>
      </c>
    </row>
    <row r="195" spans="1:34" x14ac:dyDescent="0.2">
      <c r="A195" s="12" t="s">
        <v>277</v>
      </c>
      <c r="B195" s="12" t="s">
        <v>278</v>
      </c>
      <c r="C195" s="13" t="s">
        <v>278</v>
      </c>
      <c r="D195" s="18">
        <v>1</v>
      </c>
      <c r="E195" s="18">
        <v>2</v>
      </c>
      <c r="F195" s="18">
        <v>0</v>
      </c>
      <c r="G195" s="18">
        <v>0</v>
      </c>
      <c r="H195" s="18">
        <v>2</v>
      </c>
      <c r="I195" s="18">
        <v>0</v>
      </c>
      <c r="J195" s="19">
        <v>1</v>
      </c>
      <c r="K195" s="18">
        <v>1</v>
      </c>
      <c r="L195" s="18">
        <v>1</v>
      </c>
      <c r="M195" s="18">
        <v>1</v>
      </c>
      <c r="N195" s="18">
        <v>1</v>
      </c>
      <c r="O195" s="18">
        <v>0</v>
      </c>
      <c r="P195" s="18">
        <v>0</v>
      </c>
      <c r="Q195" s="17">
        <v>2</v>
      </c>
      <c r="R195">
        <v>6</v>
      </c>
      <c r="S195">
        <v>5</v>
      </c>
      <c r="T195">
        <v>0</v>
      </c>
      <c r="U195" s="14">
        <f t="shared" si="28"/>
        <v>13</v>
      </c>
      <c r="V195" t="b">
        <f t="shared" si="29"/>
        <v>1</v>
      </c>
      <c r="W195" t="b">
        <f t="shared" si="30"/>
        <v>1</v>
      </c>
      <c r="X195" t="b">
        <f t="shared" si="31"/>
        <v>0</v>
      </c>
      <c r="Y195" t="b">
        <f t="shared" si="32"/>
        <v>0</v>
      </c>
      <c r="Z195" t="b">
        <f t="shared" si="33"/>
        <v>0</v>
      </c>
      <c r="AA195" t="b">
        <f t="shared" si="34"/>
        <v>0</v>
      </c>
      <c r="AB195" t="b">
        <f t="shared" si="35"/>
        <v>0</v>
      </c>
      <c r="AC195" t="b">
        <f t="shared" si="36"/>
        <v>0</v>
      </c>
      <c r="AD195" t="b">
        <f t="shared" si="37"/>
        <v>0</v>
      </c>
      <c r="AE195" t="b">
        <f t="shared" si="38"/>
        <v>0</v>
      </c>
      <c r="AF195" t="b">
        <f t="shared" si="39"/>
        <v>0</v>
      </c>
      <c r="AG195" t="b">
        <f t="shared" si="40"/>
        <v>0</v>
      </c>
      <c r="AH195" t="b">
        <f t="shared" si="41"/>
        <v>0</v>
      </c>
    </row>
    <row r="196" spans="1:34" x14ac:dyDescent="0.2">
      <c r="A196" s="12" t="s">
        <v>279</v>
      </c>
      <c r="B196" s="12" t="s">
        <v>154</v>
      </c>
      <c r="C196" s="13" t="s">
        <v>154</v>
      </c>
      <c r="D196" s="18">
        <v>2</v>
      </c>
      <c r="E196" s="18">
        <v>1</v>
      </c>
      <c r="F196" s="18">
        <v>2</v>
      </c>
      <c r="G196" s="18">
        <v>0</v>
      </c>
      <c r="H196" s="18">
        <v>0</v>
      </c>
      <c r="I196" s="18">
        <v>0</v>
      </c>
      <c r="J196" s="19">
        <v>2</v>
      </c>
      <c r="K196" s="18">
        <v>1</v>
      </c>
      <c r="L196" s="18"/>
      <c r="M196" s="18">
        <v>0</v>
      </c>
      <c r="N196" s="18"/>
      <c r="O196" s="18">
        <v>2</v>
      </c>
      <c r="P196" s="18">
        <v>0</v>
      </c>
      <c r="Q196" s="17">
        <v>4</v>
      </c>
      <c r="R196">
        <v>2</v>
      </c>
      <c r="S196">
        <v>5</v>
      </c>
      <c r="T196">
        <v>2</v>
      </c>
      <c r="U196" s="14">
        <f t="shared" ref="U196:U259" si="42">SUM(Q196:T196)</f>
        <v>13</v>
      </c>
      <c r="V196" t="b">
        <f t="shared" ref="V196:V259" si="43">Q196&gt;=1</f>
        <v>1</v>
      </c>
      <c r="W196" t="b">
        <f t="shared" ref="W196:W259" si="44">Q196&gt;=2</f>
        <v>1</v>
      </c>
      <c r="X196" t="b">
        <f t="shared" ref="X196:X259" si="45">Q196&gt;=3</f>
        <v>1</v>
      </c>
      <c r="Y196" t="b">
        <f t="shared" ref="Y196:Y259" si="46">Q196&gt;=4</f>
        <v>1</v>
      </c>
      <c r="Z196" t="b">
        <f t="shared" ref="Z196:Z259" si="47">Q196&gt;=5</f>
        <v>0</v>
      </c>
      <c r="AA196" t="b">
        <f t="shared" ref="AA196:AA259" si="48">Q196&gt;=6</f>
        <v>0</v>
      </c>
      <c r="AB196" t="b">
        <f t="shared" ref="AB196:AB259" si="49">Q196&gt;=7</f>
        <v>0</v>
      </c>
      <c r="AC196" t="b">
        <f t="shared" ref="AC196:AC259" si="50">Q196&gt;=8</f>
        <v>0</v>
      </c>
      <c r="AD196" t="b">
        <f t="shared" ref="AD196:AD259" si="51">Q196&gt;=9</f>
        <v>0</v>
      </c>
      <c r="AE196" t="b">
        <f t="shared" ref="AE196:AE259" si="52">Q196&gt;=10</f>
        <v>0</v>
      </c>
      <c r="AF196" t="b">
        <f t="shared" ref="AF196:AF259" si="53">Q196&gt;=11</f>
        <v>0</v>
      </c>
      <c r="AG196" t="b">
        <f t="shared" ref="AG196:AG259" si="54">Q196&gt;=12</f>
        <v>0</v>
      </c>
      <c r="AH196" t="b">
        <f t="shared" ref="AH196:AH259" si="55">Q196&gt;=13</f>
        <v>0</v>
      </c>
    </row>
    <row r="197" spans="1:34" x14ac:dyDescent="0.2">
      <c r="A197" s="12" t="s">
        <v>280</v>
      </c>
      <c r="B197" s="12" t="s">
        <v>154</v>
      </c>
      <c r="C197" s="13" t="s">
        <v>154</v>
      </c>
      <c r="D197" s="18">
        <v>1</v>
      </c>
      <c r="E197" s="18">
        <v>1</v>
      </c>
      <c r="F197" s="18">
        <v>2</v>
      </c>
      <c r="G197" s="18">
        <v>0</v>
      </c>
      <c r="H197" s="18">
        <v>0</v>
      </c>
      <c r="I197" s="18">
        <v>0</v>
      </c>
      <c r="J197" s="19">
        <v>1</v>
      </c>
      <c r="K197" s="18">
        <v>1</v>
      </c>
      <c r="L197" s="18">
        <v>0</v>
      </c>
      <c r="M197" s="18">
        <v>2</v>
      </c>
      <c r="N197" s="18">
        <v>0</v>
      </c>
      <c r="O197" s="18">
        <v>2</v>
      </c>
      <c r="P197" s="18">
        <v>0</v>
      </c>
      <c r="Q197" s="17">
        <v>3</v>
      </c>
      <c r="R197">
        <v>4</v>
      </c>
      <c r="S197">
        <v>6</v>
      </c>
      <c r="T197">
        <v>0</v>
      </c>
      <c r="U197" s="14">
        <f t="shared" si="42"/>
        <v>13</v>
      </c>
      <c r="V197" t="b">
        <f t="shared" si="43"/>
        <v>1</v>
      </c>
      <c r="W197" t="b">
        <f t="shared" si="44"/>
        <v>1</v>
      </c>
      <c r="X197" t="b">
        <f t="shared" si="45"/>
        <v>1</v>
      </c>
      <c r="Y197" t="b">
        <f t="shared" si="46"/>
        <v>0</v>
      </c>
      <c r="Z197" t="b">
        <f t="shared" si="47"/>
        <v>0</v>
      </c>
      <c r="AA197" t="b">
        <f t="shared" si="48"/>
        <v>0</v>
      </c>
      <c r="AB197" t="b">
        <f t="shared" si="49"/>
        <v>0</v>
      </c>
      <c r="AC197" t="b">
        <f t="shared" si="50"/>
        <v>0</v>
      </c>
      <c r="AD197" t="b">
        <f t="shared" si="51"/>
        <v>0</v>
      </c>
      <c r="AE197" t="b">
        <f t="shared" si="52"/>
        <v>0</v>
      </c>
      <c r="AF197" t="b">
        <f t="shared" si="53"/>
        <v>0</v>
      </c>
      <c r="AG197" t="b">
        <f t="shared" si="54"/>
        <v>0</v>
      </c>
      <c r="AH197" t="b">
        <f t="shared" si="55"/>
        <v>0</v>
      </c>
    </row>
    <row r="198" spans="1:34" x14ac:dyDescent="0.2">
      <c r="A198" s="12" t="s">
        <v>281</v>
      </c>
      <c r="B198" s="12" t="s">
        <v>154</v>
      </c>
      <c r="C198" s="13" t="s">
        <v>154</v>
      </c>
      <c r="D198" s="18"/>
      <c r="E198" s="18">
        <v>1</v>
      </c>
      <c r="F198" s="18">
        <v>2</v>
      </c>
      <c r="G198" s="18">
        <v>0</v>
      </c>
      <c r="H198" s="18">
        <v>2</v>
      </c>
      <c r="I198" s="18">
        <v>1</v>
      </c>
      <c r="J198" s="19">
        <v>2</v>
      </c>
      <c r="K198" s="18">
        <v>1</v>
      </c>
      <c r="L198" s="18">
        <v>1</v>
      </c>
      <c r="M198" s="18">
        <v>2</v>
      </c>
      <c r="N198" s="18"/>
      <c r="O198" s="18">
        <v>2</v>
      </c>
      <c r="P198" s="18">
        <v>0</v>
      </c>
      <c r="Q198" s="17">
        <v>5</v>
      </c>
      <c r="R198">
        <v>4</v>
      </c>
      <c r="S198">
        <v>2</v>
      </c>
      <c r="T198">
        <v>2</v>
      </c>
      <c r="U198" s="14">
        <f t="shared" si="42"/>
        <v>13</v>
      </c>
      <c r="V198" t="b">
        <f t="shared" si="43"/>
        <v>1</v>
      </c>
      <c r="W198" t="b">
        <f t="shared" si="44"/>
        <v>1</v>
      </c>
      <c r="X198" t="b">
        <f t="shared" si="45"/>
        <v>1</v>
      </c>
      <c r="Y198" t="b">
        <f t="shared" si="46"/>
        <v>1</v>
      </c>
      <c r="Z198" t="b">
        <f t="shared" si="47"/>
        <v>1</v>
      </c>
      <c r="AA198" t="b">
        <f t="shared" si="48"/>
        <v>0</v>
      </c>
      <c r="AB198" t="b">
        <f t="shared" si="49"/>
        <v>0</v>
      </c>
      <c r="AC198" t="b">
        <f t="shared" si="50"/>
        <v>0</v>
      </c>
      <c r="AD198" t="b">
        <f t="shared" si="51"/>
        <v>0</v>
      </c>
      <c r="AE198" t="b">
        <f t="shared" si="52"/>
        <v>0</v>
      </c>
      <c r="AF198" t="b">
        <f t="shared" si="53"/>
        <v>0</v>
      </c>
      <c r="AG198" t="b">
        <f t="shared" si="54"/>
        <v>0</v>
      </c>
      <c r="AH198" t="b">
        <f t="shared" si="55"/>
        <v>0</v>
      </c>
    </row>
    <row r="199" spans="1:34" x14ac:dyDescent="0.2">
      <c r="A199" s="12" t="s">
        <v>282</v>
      </c>
      <c r="B199" s="12" t="s">
        <v>160</v>
      </c>
      <c r="C199" s="13" t="s">
        <v>160</v>
      </c>
      <c r="D199" s="18">
        <v>2</v>
      </c>
      <c r="E199" s="18">
        <v>2</v>
      </c>
      <c r="F199" s="18">
        <v>1</v>
      </c>
      <c r="G199" s="18">
        <v>2</v>
      </c>
      <c r="H199" s="18">
        <v>0</v>
      </c>
      <c r="I199" s="18">
        <v>0</v>
      </c>
      <c r="J199" s="19">
        <v>2</v>
      </c>
      <c r="K199" s="18">
        <v>1</v>
      </c>
      <c r="L199" s="18">
        <v>1</v>
      </c>
      <c r="M199" s="18">
        <v>2</v>
      </c>
      <c r="N199" s="18">
        <v>1</v>
      </c>
      <c r="O199" s="18"/>
      <c r="P199" s="18">
        <v>0</v>
      </c>
      <c r="Q199" s="17">
        <v>5</v>
      </c>
      <c r="R199">
        <v>4</v>
      </c>
      <c r="S199">
        <v>3</v>
      </c>
      <c r="T199">
        <v>1</v>
      </c>
      <c r="U199" s="14">
        <f t="shared" si="42"/>
        <v>13</v>
      </c>
      <c r="V199" t="b">
        <f t="shared" si="43"/>
        <v>1</v>
      </c>
      <c r="W199" t="b">
        <f t="shared" si="44"/>
        <v>1</v>
      </c>
      <c r="X199" t="b">
        <f t="shared" si="45"/>
        <v>1</v>
      </c>
      <c r="Y199" t="b">
        <f t="shared" si="46"/>
        <v>1</v>
      </c>
      <c r="Z199" t="b">
        <f t="shared" si="47"/>
        <v>1</v>
      </c>
      <c r="AA199" t="b">
        <f t="shared" si="48"/>
        <v>0</v>
      </c>
      <c r="AB199" t="b">
        <f t="shared" si="49"/>
        <v>0</v>
      </c>
      <c r="AC199" t="b">
        <f t="shared" si="50"/>
        <v>0</v>
      </c>
      <c r="AD199" t="b">
        <f t="shared" si="51"/>
        <v>0</v>
      </c>
      <c r="AE199" t="b">
        <f t="shared" si="52"/>
        <v>0</v>
      </c>
      <c r="AF199" t="b">
        <f t="shared" si="53"/>
        <v>0</v>
      </c>
      <c r="AG199" t="b">
        <f t="shared" si="54"/>
        <v>0</v>
      </c>
      <c r="AH199" t="b">
        <f t="shared" si="55"/>
        <v>0</v>
      </c>
    </row>
    <row r="200" spans="1:34" x14ac:dyDescent="0.2">
      <c r="A200" s="12" t="s">
        <v>283</v>
      </c>
      <c r="B200" s="12" t="s">
        <v>284</v>
      </c>
      <c r="C200" s="13" t="s">
        <v>285</v>
      </c>
      <c r="D200" s="18">
        <v>0</v>
      </c>
      <c r="E200" s="18">
        <v>1</v>
      </c>
      <c r="F200" s="18">
        <v>0</v>
      </c>
      <c r="G200" s="18">
        <v>0</v>
      </c>
      <c r="H200" s="18">
        <v>0</v>
      </c>
      <c r="I200" s="18">
        <v>0</v>
      </c>
      <c r="J200" s="19">
        <v>1</v>
      </c>
      <c r="K200" s="18">
        <v>0</v>
      </c>
      <c r="L200" s="18"/>
      <c r="M200" s="18">
        <v>0</v>
      </c>
      <c r="N200" s="18"/>
      <c r="O200" s="18">
        <v>0</v>
      </c>
      <c r="P200" s="18">
        <v>0</v>
      </c>
      <c r="Q200" s="17">
        <v>0</v>
      </c>
      <c r="R200">
        <v>2</v>
      </c>
      <c r="S200">
        <v>9</v>
      </c>
      <c r="T200">
        <v>2</v>
      </c>
      <c r="U200" s="14">
        <f t="shared" si="42"/>
        <v>13</v>
      </c>
      <c r="V200" t="b">
        <f t="shared" si="43"/>
        <v>0</v>
      </c>
      <c r="W200" t="b">
        <f t="shared" si="44"/>
        <v>0</v>
      </c>
      <c r="X200" t="b">
        <f t="shared" si="45"/>
        <v>0</v>
      </c>
      <c r="Y200" t="b">
        <f t="shared" si="46"/>
        <v>0</v>
      </c>
      <c r="Z200" t="b">
        <f t="shared" si="47"/>
        <v>0</v>
      </c>
      <c r="AA200" t="b">
        <f t="shared" si="48"/>
        <v>0</v>
      </c>
      <c r="AB200" t="b">
        <f t="shared" si="49"/>
        <v>0</v>
      </c>
      <c r="AC200" t="b">
        <f t="shared" si="50"/>
        <v>0</v>
      </c>
      <c r="AD200" t="b">
        <f t="shared" si="51"/>
        <v>0</v>
      </c>
      <c r="AE200" t="b">
        <f t="shared" si="52"/>
        <v>0</v>
      </c>
      <c r="AF200" t="b">
        <f t="shared" si="53"/>
        <v>0</v>
      </c>
      <c r="AG200" t="b">
        <f t="shared" si="54"/>
        <v>0</v>
      </c>
      <c r="AH200" t="b">
        <f t="shared" si="55"/>
        <v>0</v>
      </c>
    </row>
    <row r="201" spans="1:34" x14ac:dyDescent="0.2">
      <c r="A201" s="12">
        <v>2004</v>
      </c>
      <c r="B201" s="12" t="s">
        <v>284</v>
      </c>
      <c r="C201" s="13" t="s">
        <v>285</v>
      </c>
      <c r="D201" s="18">
        <v>0</v>
      </c>
      <c r="E201" s="18">
        <v>0</v>
      </c>
      <c r="F201" s="18">
        <v>0</v>
      </c>
      <c r="G201" s="18">
        <v>0</v>
      </c>
      <c r="H201" s="18">
        <v>0</v>
      </c>
      <c r="I201" s="18">
        <v>0</v>
      </c>
      <c r="J201" s="19">
        <v>0</v>
      </c>
      <c r="K201" s="18">
        <v>0</v>
      </c>
      <c r="L201" s="18">
        <v>0</v>
      </c>
      <c r="M201" s="18">
        <v>0</v>
      </c>
      <c r="N201" s="18">
        <v>0</v>
      </c>
      <c r="O201" s="18">
        <v>0</v>
      </c>
      <c r="P201" s="18">
        <v>0</v>
      </c>
      <c r="Q201" s="17">
        <v>0</v>
      </c>
      <c r="R201">
        <v>0</v>
      </c>
      <c r="S201">
        <v>13</v>
      </c>
      <c r="T201">
        <v>0</v>
      </c>
      <c r="U201" s="14">
        <f t="shared" si="42"/>
        <v>13</v>
      </c>
      <c r="V201" t="b">
        <f t="shared" si="43"/>
        <v>0</v>
      </c>
      <c r="W201" t="b">
        <f t="shared" si="44"/>
        <v>0</v>
      </c>
      <c r="X201" t="b">
        <f t="shared" si="45"/>
        <v>0</v>
      </c>
      <c r="Y201" t="b">
        <f t="shared" si="46"/>
        <v>0</v>
      </c>
      <c r="Z201" t="b">
        <f t="shared" si="47"/>
        <v>0</v>
      </c>
      <c r="AA201" t="b">
        <f t="shared" si="48"/>
        <v>0</v>
      </c>
      <c r="AB201" t="b">
        <f t="shared" si="49"/>
        <v>0</v>
      </c>
      <c r="AC201" t="b">
        <f t="shared" si="50"/>
        <v>0</v>
      </c>
      <c r="AD201" t="b">
        <f t="shared" si="51"/>
        <v>0</v>
      </c>
      <c r="AE201" t="b">
        <f t="shared" si="52"/>
        <v>0</v>
      </c>
      <c r="AF201" t="b">
        <f t="shared" si="53"/>
        <v>0</v>
      </c>
      <c r="AG201" t="b">
        <f t="shared" si="54"/>
        <v>0</v>
      </c>
      <c r="AH201" t="b">
        <f t="shared" si="55"/>
        <v>0</v>
      </c>
    </row>
    <row r="202" spans="1:34" x14ac:dyDescent="0.2">
      <c r="A202" s="12" t="s">
        <v>286</v>
      </c>
      <c r="B202" s="12" t="s">
        <v>284</v>
      </c>
      <c r="C202" s="13" t="s">
        <v>285</v>
      </c>
      <c r="D202" s="18">
        <v>1</v>
      </c>
      <c r="E202" s="18">
        <v>1</v>
      </c>
      <c r="F202" s="18">
        <v>2</v>
      </c>
      <c r="G202" s="18">
        <v>2</v>
      </c>
      <c r="H202" s="18">
        <v>1</v>
      </c>
      <c r="I202" s="18">
        <v>0</v>
      </c>
      <c r="J202" s="19">
        <v>2</v>
      </c>
      <c r="K202" s="18">
        <v>1</v>
      </c>
      <c r="L202" s="18">
        <v>1</v>
      </c>
      <c r="M202" s="18">
        <v>1</v>
      </c>
      <c r="N202" s="18">
        <v>1</v>
      </c>
      <c r="O202" s="18">
        <v>2</v>
      </c>
      <c r="P202" s="18">
        <v>1</v>
      </c>
      <c r="Q202" s="17">
        <v>4</v>
      </c>
      <c r="R202">
        <v>8</v>
      </c>
      <c r="S202">
        <v>1</v>
      </c>
      <c r="T202">
        <v>0</v>
      </c>
      <c r="U202" s="14">
        <f t="shared" si="42"/>
        <v>13</v>
      </c>
      <c r="V202" t="b">
        <f t="shared" si="43"/>
        <v>1</v>
      </c>
      <c r="W202" t="b">
        <f t="shared" si="44"/>
        <v>1</v>
      </c>
      <c r="X202" t="b">
        <f t="shared" si="45"/>
        <v>1</v>
      </c>
      <c r="Y202" t="b">
        <f t="shared" si="46"/>
        <v>1</v>
      </c>
      <c r="Z202" t="b">
        <f t="shared" si="47"/>
        <v>0</v>
      </c>
      <c r="AA202" t="b">
        <f t="shared" si="48"/>
        <v>0</v>
      </c>
      <c r="AB202" t="b">
        <f t="shared" si="49"/>
        <v>0</v>
      </c>
      <c r="AC202" t="b">
        <f t="shared" si="50"/>
        <v>0</v>
      </c>
      <c r="AD202" t="b">
        <f t="shared" si="51"/>
        <v>0</v>
      </c>
      <c r="AE202" t="b">
        <f t="shared" si="52"/>
        <v>0</v>
      </c>
      <c r="AF202" t="b">
        <f t="shared" si="53"/>
        <v>0</v>
      </c>
      <c r="AG202" t="b">
        <f t="shared" si="54"/>
        <v>0</v>
      </c>
      <c r="AH202" t="b">
        <f t="shared" si="55"/>
        <v>0</v>
      </c>
    </row>
    <row r="203" spans="1:34" x14ac:dyDescent="0.2">
      <c r="A203" s="12" t="s">
        <v>287</v>
      </c>
      <c r="B203" s="12" t="s">
        <v>163</v>
      </c>
      <c r="C203" s="13" t="s">
        <v>116</v>
      </c>
      <c r="D203" s="18">
        <v>0</v>
      </c>
      <c r="E203" s="18">
        <v>1</v>
      </c>
      <c r="F203" s="18">
        <v>1</v>
      </c>
      <c r="G203" s="18">
        <v>0</v>
      </c>
      <c r="H203" s="18">
        <v>0</v>
      </c>
      <c r="I203" s="18">
        <v>0</v>
      </c>
      <c r="J203" s="19">
        <v>0</v>
      </c>
      <c r="K203" s="18">
        <v>2</v>
      </c>
      <c r="L203" s="18">
        <v>2</v>
      </c>
      <c r="M203" s="18">
        <v>0</v>
      </c>
      <c r="N203" s="18">
        <v>0</v>
      </c>
      <c r="O203" s="18">
        <v>0</v>
      </c>
      <c r="P203" s="18">
        <v>0</v>
      </c>
      <c r="Q203" s="17">
        <v>2</v>
      </c>
      <c r="R203">
        <v>2</v>
      </c>
      <c r="S203">
        <v>9</v>
      </c>
      <c r="T203">
        <v>0</v>
      </c>
      <c r="U203" s="14">
        <f t="shared" si="42"/>
        <v>13</v>
      </c>
      <c r="V203" t="b">
        <f t="shared" si="43"/>
        <v>1</v>
      </c>
      <c r="W203" t="b">
        <f t="shared" si="44"/>
        <v>1</v>
      </c>
      <c r="X203" t="b">
        <f t="shared" si="45"/>
        <v>0</v>
      </c>
      <c r="Y203" t="b">
        <f t="shared" si="46"/>
        <v>0</v>
      </c>
      <c r="Z203" t="b">
        <f t="shared" si="47"/>
        <v>0</v>
      </c>
      <c r="AA203" t="b">
        <f t="shared" si="48"/>
        <v>0</v>
      </c>
      <c r="AB203" t="b">
        <f t="shared" si="49"/>
        <v>0</v>
      </c>
      <c r="AC203" t="b">
        <f t="shared" si="50"/>
        <v>0</v>
      </c>
      <c r="AD203" t="b">
        <f t="shared" si="51"/>
        <v>0</v>
      </c>
      <c r="AE203" t="b">
        <f t="shared" si="52"/>
        <v>0</v>
      </c>
      <c r="AF203" t="b">
        <f t="shared" si="53"/>
        <v>0</v>
      </c>
      <c r="AG203" t="b">
        <f t="shared" si="54"/>
        <v>0</v>
      </c>
      <c r="AH203" t="b">
        <f t="shared" si="55"/>
        <v>0</v>
      </c>
    </row>
    <row r="204" spans="1:34" x14ac:dyDescent="0.2">
      <c r="A204" s="12" t="s">
        <v>288</v>
      </c>
      <c r="B204" s="12" t="s">
        <v>163</v>
      </c>
      <c r="C204" s="13" t="s">
        <v>116</v>
      </c>
      <c r="D204" s="18">
        <v>0</v>
      </c>
      <c r="E204" s="18">
        <v>0</v>
      </c>
      <c r="F204" s="18">
        <v>2</v>
      </c>
      <c r="G204" s="18">
        <v>2</v>
      </c>
      <c r="H204" s="18">
        <v>1</v>
      </c>
      <c r="I204" s="18">
        <v>1</v>
      </c>
      <c r="J204" s="19">
        <v>2</v>
      </c>
      <c r="K204" s="18">
        <v>2</v>
      </c>
      <c r="L204" s="18">
        <v>1</v>
      </c>
      <c r="M204" s="18">
        <v>1</v>
      </c>
      <c r="N204" s="18">
        <v>0</v>
      </c>
      <c r="O204" s="18">
        <v>2</v>
      </c>
      <c r="P204" s="18">
        <v>0</v>
      </c>
      <c r="Q204" s="17">
        <v>5</v>
      </c>
      <c r="R204">
        <v>4</v>
      </c>
      <c r="S204">
        <v>4</v>
      </c>
      <c r="T204">
        <v>0</v>
      </c>
      <c r="U204" s="14">
        <f t="shared" si="42"/>
        <v>13</v>
      </c>
      <c r="V204" t="b">
        <f t="shared" si="43"/>
        <v>1</v>
      </c>
      <c r="W204" t="b">
        <f t="shared" si="44"/>
        <v>1</v>
      </c>
      <c r="X204" t="b">
        <f t="shared" si="45"/>
        <v>1</v>
      </c>
      <c r="Y204" t="b">
        <f t="shared" si="46"/>
        <v>1</v>
      </c>
      <c r="Z204" t="b">
        <f t="shared" si="47"/>
        <v>1</v>
      </c>
      <c r="AA204" t="b">
        <f t="shared" si="48"/>
        <v>0</v>
      </c>
      <c r="AB204" t="b">
        <f t="shared" si="49"/>
        <v>0</v>
      </c>
      <c r="AC204" t="b">
        <f t="shared" si="50"/>
        <v>0</v>
      </c>
      <c r="AD204" t="b">
        <f t="shared" si="51"/>
        <v>0</v>
      </c>
      <c r="AE204" t="b">
        <f t="shared" si="52"/>
        <v>0</v>
      </c>
      <c r="AF204" t="b">
        <f t="shared" si="53"/>
        <v>0</v>
      </c>
      <c r="AG204" t="b">
        <f t="shared" si="54"/>
        <v>0</v>
      </c>
      <c r="AH204" t="b">
        <f t="shared" si="55"/>
        <v>0</v>
      </c>
    </row>
    <row r="205" spans="1:34" x14ac:dyDescent="0.2">
      <c r="A205" s="12" t="s">
        <v>47</v>
      </c>
      <c r="B205" s="12" t="s">
        <v>289</v>
      </c>
      <c r="C205" s="13" t="s">
        <v>289</v>
      </c>
      <c r="D205" s="18">
        <v>1</v>
      </c>
      <c r="E205" s="18">
        <v>1</v>
      </c>
      <c r="F205" s="18">
        <v>1</v>
      </c>
      <c r="G205" s="18">
        <v>1</v>
      </c>
      <c r="H205" s="18">
        <v>0</v>
      </c>
      <c r="I205" s="18">
        <v>1</v>
      </c>
      <c r="J205" s="19">
        <v>1</v>
      </c>
      <c r="K205" s="18">
        <v>0</v>
      </c>
      <c r="L205" s="18">
        <v>0</v>
      </c>
      <c r="M205" s="18">
        <v>1</v>
      </c>
      <c r="N205" s="18">
        <v>1</v>
      </c>
      <c r="O205" s="18">
        <v>0</v>
      </c>
      <c r="P205" s="18">
        <v>0</v>
      </c>
      <c r="Q205" s="17">
        <v>0</v>
      </c>
      <c r="R205">
        <v>8</v>
      </c>
      <c r="S205">
        <v>5</v>
      </c>
      <c r="T205">
        <v>0</v>
      </c>
      <c r="U205" s="14">
        <f t="shared" si="42"/>
        <v>13</v>
      </c>
      <c r="V205" t="b">
        <f t="shared" si="43"/>
        <v>0</v>
      </c>
      <c r="W205" t="b">
        <f t="shared" si="44"/>
        <v>0</v>
      </c>
      <c r="X205" t="b">
        <f t="shared" si="45"/>
        <v>0</v>
      </c>
      <c r="Y205" t="b">
        <f t="shared" si="46"/>
        <v>0</v>
      </c>
      <c r="Z205" t="b">
        <f t="shared" si="47"/>
        <v>0</v>
      </c>
      <c r="AA205" t="b">
        <f t="shared" si="48"/>
        <v>0</v>
      </c>
      <c r="AB205" t="b">
        <f t="shared" si="49"/>
        <v>0</v>
      </c>
      <c r="AC205" t="b">
        <f t="shared" si="50"/>
        <v>0</v>
      </c>
      <c r="AD205" t="b">
        <f t="shared" si="51"/>
        <v>0</v>
      </c>
      <c r="AE205" t="b">
        <f t="shared" si="52"/>
        <v>0</v>
      </c>
      <c r="AF205" t="b">
        <f t="shared" si="53"/>
        <v>0</v>
      </c>
      <c r="AG205" t="b">
        <f t="shared" si="54"/>
        <v>0</v>
      </c>
      <c r="AH205" t="b">
        <f t="shared" si="55"/>
        <v>0</v>
      </c>
    </row>
    <row r="206" spans="1:34" x14ac:dyDescent="0.2">
      <c r="A206" s="12" t="s">
        <v>290</v>
      </c>
      <c r="B206" s="12" t="s">
        <v>291</v>
      </c>
      <c r="C206" s="13" t="s">
        <v>291</v>
      </c>
      <c r="D206" s="18">
        <v>1</v>
      </c>
      <c r="E206" s="18">
        <v>0</v>
      </c>
      <c r="F206" s="18">
        <v>2</v>
      </c>
      <c r="G206" s="18">
        <v>2</v>
      </c>
      <c r="H206" s="18">
        <v>0</v>
      </c>
      <c r="I206" s="18">
        <v>2</v>
      </c>
      <c r="J206" s="19">
        <v>1</v>
      </c>
      <c r="K206" s="18">
        <v>2</v>
      </c>
      <c r="L206" s="18">
        <v>1</v>
      </c>
      <c r="M206" s="18">
        <v>2</v>
      </c>
      <c r="N206" s="18"/>
      <c r="O206" s="18">
        <v>2</v>
      </c>
      <c r="P206" s="18">
        <v>1</v>
      </c>
      <c r="Q206" s="17">
        <v>6</v>
      </c>
      <c r="R206">
        <v>4</v>
      </c>
      <c r="S206">
        <v>2</v>
      </c>
      <c r="T206">
        <v>1</v>
      </c>
      <c r="U206" s="14">
        <f t="shared" si="42"/>
        <v>13</v>
      </c>
      <c r="V206" t="b">
        <f t="shared" si="43"/>
        <v>1</v>
      </c>
      <c r="W206" t="b">
        <f t="shared" si="44"/>
        <v>1</v>
      </c>
      <c r="X206" t="b">
        <f t="shared" si="45"/>
        <v>1</v>
      </c>
      <c r="Y206" t="b">
        <f t="shared" si="46"/>
        <v>1</v>
      </c>
      <c r="Z206" t="b">
        <f t="shared" si="47"/>
        <v>1</v>
      </c>
      <c r="AA206" t="b">
        <f t="shared" si="48"/>
        <v>1</v>
      </c>
      <c r="AB206" t="b">
        <f t="shared" si="49"/>
        <v>0</v>
      </c>
      <c r="AC206" t="b">
        <f t="shared" si="50"/>
        <v>0</v>
      </c>
      <c r="AD206" t="b">
        <f t="shared" si="51"/>
        <v>0</v>
      </c>
      <c r="AE206" t="b">
        <f t="shared" si="52"/>
        <v>0</v>
      </c>
      <c r="AF206" t="b">
        <f t="shared" si="53"/>
        <v>0</v>
      </c>
      <c r="AG206" t="b">
        <f t="shared" si="54"/>
        <v>0</v>
      </c>
      <c r="AH206" t="b">
        <f t="shared" si="55"/>
        <v>0</v>
      </c>
    </row>
    <row r="207" spans="1:34" x14ac:dyDescent="0.2">
      <c r="A207" s="12" t="s">
        <v>280</v>
      </c>
      <c r="B207" s="12" t="s">
        <v>167</v>
      </c>
      <c r="C207" s="13" t="s">
        <v>168</v>
      </c>
      <c r="D207" s="18">
        <v>0</v>
      </c>
      <c r="E207" s="18">
        <v>0</v>
      </c>
      <c r="F207" s="18">
        <v>2</v>
      </c>
      <c r="G207" s="18">
        <v>2</v>
      </c>
      <c r="H207" s="18">
        <v>0</v>
      </c>
      <c r="I207" s="18">
        <v>0</v>
      </c>
      <c r="J207" s="19">
        <v>1</v>
      </c>
      <c r="K207" s="18">
        <v>1</v>
      </c>
      <c r="L207" s="18">
        <v>0</v>
      </c>
      <c r="M207" s="18">
        <v>0</v>
      </c>
      <c r="N207" s="18">
        <v>0</v>
      </c>
      <c r="O207" s="18">
        <v>0</v>
      </c>
      <c r="P207" s="18">
        <v>0</v>
      </c>
      <c r="Q207" s="17">
        <v>2</v>
      </c>
      <c r="R207">
        <v>2</v>
      </c>
      <c r="S207">
        <v>9</v>
      </c>
      <c r="T207">
        <v>0</v>
      </c>
      <c r="U207" s="14">
        <f t="shared" si="42"/>
        <v>13</v>
      </c>
      <c r="V207" t="b">
        <f t="shared" si="43"/>
        <v>1</v>
      </c>
      <c r="W207" t="b">
        <f t="shared" si="44"/>
        <v>1</v>
      </c>
      <c r="X207" t="b">
        <f t="shared" si="45"/>
        <v>0</v>
      </c>
      <c r="Y207" t="b">
        <f t="shared" si="46"/>
        <v>0</v>
      </c>
      <c r="Z207" t="b">
        <f t="shared" si="47"/>
        <v>0</v>
      </c>
      <c r="AA207" t="b">
        <f t="shared" si="48"/>
        <v>0</v>
      </c>
      <c r="AB207" t="b">
        <f t="shared" si="49"/>
        <v>0</v>
      </c>
      <c r="AC207" t="b">
        <f t="shared" si="50"/>
        <v>0</v>
      </c>
      <c r="AD207" t="b">
        <f t="shared" si="51"/>
        <v>0</v>
      </c>
      <c r="AE207" t="b">
        <f t="shared" si="52"/>
        <v>0</v>
      </c>
      <c r="AF207" t="b">
        <f t="shared" si="53"/>
        <v>0</v>
      </c>
      <c r="AG207" t="b">
        <f t="shared" si="54"/>
        <v>0</v>
      </c>
      <c r="AH207" t="b">
        <f t="shared" si="55"/>
        <v>0</v>
      </c>
    </row>
    <row r="208" spans="1:34" x14ac:dyDescent="0.2">
      <c r="A208" s="12" t="s">
        <v>279</v>
      </c>
      <c r="B208" s="12" t="s">
        <v>167</v>
      </c>
      <c r="C208" s="13" t="s">
        <v>168</v>
      </c>
      <c r="D208" s="18">
        <v>2</v>
      </c>
      <c r="E208" s="18">
        <v>0</v>
      </c>
      <c r="F208" s="18">
        <v>2</v>
      </c>
      <c r="G208" s="18">
        <v>2</v>
      </c>
      <c r="H208" s="18">
        <v>2</v>
      </c>
      <c r="I208" s="18">
        <v>0</v>
      </c>
      <c r="J208" s="19">
        <v>1</v>
      </c>
      <c r="K208" s="18">
        <v>2</v>
      </c>
      <c r="L208" s="18"/>
      <c r="M208" s="18">
        <v>2</v>
      </c>
      <c r="N208" s="18">
        <v>0</v>
      </c>
      <c r="O208" s="18">
        <v>2</v>
      </c>
      <c r="P208" s="18">
        <v>0</v>
      </c>
      <c r="Q208" s="17">
        <v>7</v>
      </c>
      <c r="R208">
        <v>1</v>
      </c>
      <c r="S208">
        <v>4</v>
      </c>
      <c r="T208">
        <v>1</v>
      </c>
      <c r="U208" s="14">
        <f t="shared" si="42"/>
        <v>13</v>
      </c>
      <c r="V208" t="b">
        <f t="shared" si="43"/>
        <v>1</v>
      </c>
      <c r="W208" t="b">
        <f t="shared" si="44"/>
        <v>1</v>
      </c>
      <c r="X208" t="b">
        <f t="shared" si="45"/>
        <v>1</v>
      </c>
      <c r="Y208" t="b">
        <f t="shared" si="46"/>
        <v>1</v>
      </c>
      <c r="Z208" t="b">
        <f t="shared" si="47"/>
        <v>1</v>
      </c>
      <c r="AA208" t="b">
        <f t="shared" si="48"/>
        <v>1</v>
      </c>
      <c r="AB208" t="b">
        <f t="shared" si="49"/>
        <v>1</v>
      </c>
      <c r="AC208" t="b">
        <f t="shared" si="50"/>
        <v>0</v>
      </c>
      <c r="AD208" t="b">
        <f t="shared" si="51"/>
        <v>0</v>
      </c>
      <c r="AE208" t="b">
        <f t="shared" si="52"/>
        <v>0</v>
      </c>
      <c r="AF208" t="b">
        <f t="shared" si="53"/>
        <v>0</v>
      </c>
      <c r="AG208" t="b">
        <f t="shared" si="54"/>
        <v>0</v>
      </c>
      <c r="AH208" t="b">
        <f t="shared" si="55"/>
        <v>0</v>
      </c>
    </row>
    <row r="209" spans="1:34" x14ac:dyDescent="0.2">
      <c r="A209" s="12" t="s">
        <v>292</v>
      </c>
      <c r="B209" s="12" t="s">
        <v>167</v>
      </c>
      <c r="C209" s="13" t="s">
        <v>168</v>
      </c>
      <c r="D209" s="18">
        <v>2</v>
      </c>
      <c r="E209" s="18">
        <v>1</v>
      </c>
      <c r="F209" s="18">
        <v>2</v>
      </c>
      <c r="G209" s="18">
        <v>2</v>
      </c>
      <c r="H209" s="18">
        <v>0</v>
      </c>
      <c r="I209" s="18">
        <v>0</v>
      </c>
      <c r="J209" s="19">
        <v>1</v>
      </c>
      <c r="K209" s="18">
        <v>2</v>
      </c>
      <c r="L209" s="18">
        <v>1</v>
      </c>
      <c r="M209" s="18">
        <v>2</v>
      </c>
      <c r="N209" s="18"/>
      <c r="O209" s="18">
        <v>2</v>
      </c>
      <c r="P209" s="18">
        <v>0</v>
      </c>
      <c r="Q209" s="17">
        <v>6</v>
      </c>
      <c r="R209">
        <v>3</v>
      </c>
      <c r="S209">
        <v>3</v>
      </c>
      <c r="T209">
        <v>1</v>
      </c>
      <c r="U209" s="14">
        <f t="shared" si="42"/>
        <v>13</v>
      </c>
      <c r="V209" t="b">
        <f t="shared" si="43"/>
        <v>1</v>
      </c>
      <c r="W209" t="b">
        <f t="shared" si="44"/>
        <v>1</v>
      </c>
      <c r="X209" t="b">
        <f t="shared" si="45"/>
        <v>1</v>
      </c>
      <c r="Y209" t="b">
        <f t="shared" si="46"/>
        <v>1</v>
      </c>
      <c r="Z209" t="b">
        <f t="shared" si="47"/>
        <v>1</v>
      </c>
      <c r="AA209" t="b">
        <f t="shared" si="48"/>
        <v>1</v>
      </c>
      <c r="AB209" t="b">
        <f t="shared" si="49"/>
        <v>0</v>
      </c>
      <c r="AC209" t="b">
        <f t="shared" si="50"/>
        <v>0</v>
      </c>
      <c r="AD209" t="b">
        <f t="shared" si="51"/>
        <v>0</v>
      </c>
      <c r="AE209" t="b">
        <f t="shared" si="52"/>
        <v>0</v>
      </c>
      <c r="AF209" t="b">
        <f t="shared" si="53"/>
        <v>0</v>
      </c>
      <c r="AG209" t="b">
        <f t="shared" si="54"/>
        <v>0</v>
      </c>
      <c r="AH209" t="b">
        <f t="shared" si="55"/>
        <v>0</v>
      </c>
    </row>
    <row r="210" spans="1:34" x14ac:dyDescent="0.2">
      <c r="A210" s="12" t="s">
        <v>57</v>
      </c>
      <c r="B210" s="12" t="s">
        <v>174</v>
      </c>
      <c r="C210" s="13" t="s">
        <v>174</v>
      </c>
      <c r="D210" s="18">
        <v>0</v>
      </c>
      <c r="E210" s="18">
        <v>2</v>
      </c>
      <c r="F210" s="18">
        <v>2</v>
      </c>
      <c r="G210" s="18">
        <v>1</v>
      </c>
      <c r="H210" s="18">
        <v>0</v>
      </c>
      <c r="I210" s="18">
        <v>0</v>
      </c>
      <c r="J210" s="19">
        <v>2</v>
      </c>
      <c r="K210" s="18">
        <v>1</v>
      </c>
      <c r="L210" s="18">
        <v>2</v>
      </c>
      <c r="M210" s="18">
        <v>1</v>
      </c>
      <c r="N210" s="18">
        <v>1</v>
      </c>
      <c r="O210" s="18">
        <v>2</v>
      </c>
      <c r="P210" s="18">
        <v>0</v>
      </c>
      <c r="Q210" s="17">
        <v>5</v>
      </c>
      <c r="R210">
        <v>4</v>
      </c>
      <c r="S210">
        <v>4</v>
      </c>
      <c r="T210">
        <v>0</v>
      </c>
      <c r="U210" s="14">
        <f t="shared" si="42"/>
        <v>13</v>
      </c>
      <c r="V210" t="b">
        <f t="shared" si="43"/>
        <v>1</v>
      </c>
      <c r="W210" t="b">
        <f t="shared" si="44"/>
        <v>1</v>
      </c>
      <c r="X210" t="b">
        <f t="shared" si="45"/>
        <v>1</v>
      </c>
      <c r="Y210" t="b">
        <f t="shared" si="46"/>
        <v>1</v>
      </c>
      <c r="Z210" t="b">
        <f t="shared" si="47"/>
        <v>1</v>
      </c>
      <c r="AA210" t="b">
        <f t="shared" si="48"/>
        <v>0</v>
      </c>
      <c r="AB210" t="b">
        <f t="shared" si="49"/>
        <v>0</v>
      </c>
      <c r="AC210" t="b">
        <f t="shared" si="50"/>
        <v>0</v>
      </c>
      <c r="AD210" t="b">
        <f t="shared" si="51"/>
        <v>0</v>
      </c>
      <c r="AE210" t="b">
        <f t="shared" si="52"/>
        <v>0</v>
      </c>
      <c r="AF210" t="b">
        <f t="shared" si="53"/>
        <v>0</v>
      </c>
      <c r="AG210" t="b">
        <f t="shared" si="54"/>
        <v>0</v>
      </c>
      <c r="AH210" t="b">
        <f t="shared" si="55"/>
        <v>0</v>
      </c>
    </row>
    <row r="211" spans="1:34" x14ac:dyDescent="0.2">
      <c r="A211" s="12" t="s">
        <v>293</v>
      </c>
      <c r="B211" s="12" t="s">
        <v>175</v>
      </c>
      <c r="C211" s="13" t="s">
        <v>175</v>
      </c>
      <c r="D211" s="18">
        <v>0</v>
      </c>
      <c r="E211" s="18">
        <v>2</v>
      </c>
      <c r="F211" s="18">
        <v>2</v>
      </c>
      <c r="G211" s="18">
        <v>1</v>
      </c>
      <c r="H211" s="18">
        <v>0</v>
      </c>
      <c r="I211" s="18">
        <v>1</v>
      </c>
      <c r="J211" s="19">
        <v>1</v>
      </c>
      <c r="K211" s="18">
        <v>0</v>
      </c>
      <c r="L211" s="18">
        <v>1</v>
      </c>
      <c r="M211" s="18">
        <v>1</v>
      </c>
      <c r="N211" s="18">
        <v>1</v>
      </c>
      <c r="O211" s="18">
        <v>2</v>
      </c>
      <c r="P211" s="18">
        <v>0</v>
      </c>
      <c r="Q211" s="17">
        <v>3</v>
      </c>
      <c r="R211">
        <v>6</v>
      </c>
      <c r="S211">
        <v>4</v>
      </c>
      <c r="T211">
        <v>0</v>
      </c>
      <c r="U211" s="14">
        <f t="shared" si="42"/>
        <v>13</v>
      </c>
      <c r="V211" t="b">
        <f t="shared" si="43"/>
        <v>1</v>
      </c>
      <c r="W211" t="b">
        <f t="shared" si="44"/>
        <v>1</v>
      </c>
      <c r="X211" t="b">
        <f t="shared" si="45"/>
        <v>1</v>
      </c>
      <c r="Y211" t="b">
        <f t="shared" si="46"/>
        <v>0</v>
      </c>
      <c r="Z211" t="b">
        <f t="shared" si="47"/>
        <v>0</v>
      </c>
      <c r="AA211" t="b">
        <f t="shared" si="48"/>
        <v>0</v>
      </c>
      <c r="AB211" t="b">
        <f t="shared" si="49"/>
        <v>0</v>
      </c>
      <c r="AC211" t="b">
        <f t="shared" si="50"/>
        <v>0</v>
      </c>
      <c r="AD211" t="b">
        <f t="shared" si="51"/>
        <v>0</v>
      </c>
      <c r="AE211" t="b">
        <f t="shared" si="52"/>
        <v>0</v>
      </c>
      <c r="AF211" t="b">
        <f t="shared" si="53"/>
        <v>0</v>
      </c>
      <c r="AG211" t="b">
        <f t="shared" si="54"/>
        <v>0</v>
      </c>
      <c r="AH211" t="b">
        <f t="shared" si="55"/>
        <v>0</v>
      </c>
    </row>
    <row r="212" spans="1:34" x14ac:dyDescent="0.2">
      <c r="A212" s="12" t="s">
        <v>294</v>
      </c>
      <c r="B212" s="12" t="s">
        <v>295</v>
      </c>
      <c r="C212" s="13" t="s">
        <v>69</v>
      </c>
      <c r="D212" s="18">
        <v>1</v>
      </c>
      <c r="E212" s="18">
        <v>1</v>
      </c>
      <c r="F212" s="18">
        <v>2</v>
      </c>
      <c r="G212" s="18">
        <v>2</v>
      </c>
      <c r="H212" s="18">
        <v>0</v>
      </c>
      <c r="I212" s="18">
        <v>0</v>
      </c>
      <c r="J212" s="19">
        <v>2</v>
      </c>
      <c r="K212" s="18">
        <v>1</v>
      </c>
      <c r="L212" s="18">
        <v>1</v>
      </c>
      <c r="M212" s="18">
        <v>2</v>
      </c>
      <c r="N212" s="18"/>
      <c r="O212" s="18">
        <v>2</v>
      </c>
      <c r="P212" s="18">
        <v>1</v>
      </c>
      <c r="Q212" s="17">
        <v>5</v>
      </c>
      <c r="R212">
        <v>5</v>
      </c>
      <c r="S212">
        <v>2</v>
      </c>
      <c r="T212">
        <v>1</v>
      </c>
      <c r="U212" s="14">
        <f t="shared" si="42"/>
        <v>13</v>
      </c>
      <c r="V212" t="b">
        <f t="shared" si="43"/>
        <v>1</v>
      </c>
      <c r="W212" t="b">
        <f t="shared" si="44"/>
        <v>1</v>
      </c>
      <c r="X212" t="b">
        <f t="shared" si="45"/>
        <v>1</v>
      </c>
      <c r="Y212" t="b">
        <f t="shared" si="46"/>
        <v>1</v>
      </c>
      <c r="Z212" t="b">
        <f t="shared" si="47"/>
        <v>1</v>
      </c>
      <c r="AA212" t="b">
        <f t="shared" si="48"/>
        <v>0</v>
      </c>
      <c r="AB212" t="b">
        <f t="shared" si="49"/>
        <v>0</v>
      </c>
      <c r="AC212" t="b">
        <f t="shared" si="50"/>
        <v>0</v>
      </c>
      <c r="AD212" t="b">
        <f t="shared" si="51"/>
        <v>0</v>
      </c>
      <c r="AE212" t="b">
        <f t="shared" si="52"/>
        <v>0</v>
      </c>
      <c r="AF212" t="b">
        <f t="shared" si="53"/>
        <v>0</v>
      </c>
      <c r="AG212" t="b">
        <f t="shared" si="54"/>
        <v>0</v>
      </c>
      <c r="AH212" t="b">
        <f t="shared" si="55"/>
        <v>0</v>
      </c>
    </row>
    <row r="213" spans="1:34" x14ac:dyDescent="0.2">
      <c r="A213" s="12" t="s">
        <v>296</v>
      </c>
      <c r="B213" s="12" t="s">
        <v>297</v>
      </c>
      <c r="C213" s="13" t="s">
        <v>297</v>
      </c>
      <c r="D213" s="18">
        <v>0</v>
      </c>
      <c r="E213" s="18">
        <v>2</v>
      </c>
      <c r="F213" s="18">
        <v>0</v>
      </c>
      <c r="G213" s="18">
        <v>0</v>
      </c>
      <c r="H213" s="18">
        <v>0</v>
      </c>
      <c r="I213" s="18">
        <v>1</v>
      </c>
      <c r="J213" s="19">
        <v>1</v>
      </c>
      <c r="K213" s="18">
        <v>0</v>
      </c>
      <c r="L213" s="18">
        <v>1</v>
      </c>
      <c r="M213" s="18">
        <v>0</v>
      </c>
      <c r="N213" s="18"/>
      <c r="O213" s="18">
        <v>2</v>
      </c>
      <c r="P213" s="18">
        <v>0</v>
      </c>
      <c r="Q213" s="17">
        <v>2</v>
      </c>
      <c r="R213">
        <v>3</v>
      </c>
      <c r="S213">
        <v>7</v>
      </c>
      <c r="T213">
        <v>1</v>
      </c>
      <c r="U213" s="14">
        <f t="shared" si="42"/>
        <v>13</v>
      </c>
      <c r="V213" t="b">
        <f t="shared" si="43"/>
        <v>1</v>
      </c>
      <c r="W213" t="b">
        <f t="shared" si="44"/>
        <v>1</v>
      </c>
      <c r="X213" t="b">
        <f t="shared" si="45"/>
        <v>0</v>
      </c>
      <c r="Y213" t="b">
        <f t="shared" si="46"/>
        <v>0</v>
      </c>
      <c r="Z213" t="b">
        <f t="shared" si="47"/>
        <v>0</v>
      </c>
      <c r="AA213" t="b">
        <f t="shared" si="48"/>
        <v>0</v>
      </c>
      <c r="AB213" t="b">
        <f t="shared" si="49"/>
        <v>0</v>
      </c>
      <c r="AC213" t="b">
        <f t="shared" si="50"/>
        <v>0</v>
      </c>
      <c r="AD213" t="b">
        <f t="shared" si="51"/>
        <v>0</v>
      </c>
      <c r="AE213" t="b">
        <f t="shared" si="52"/>
        <v>0</v>
      </c>
      <c r="AF213" t="b">
        <f t="shared" si="53"/>
        <v>0</v>
      </c>
      <c r="AG213" t="b">
        <f t="shared" si="54"/>
        <v>0</v>
      </c>
      <c r="AH213" t="b">
        <f t="shared" si="55"/>
        <v>0</v>
      </c>
    </row>
    <row r="214" spans="1:34" x14ac:dyDescent="0.2">
      <c r="A214" s="12" t="s">
        <v>101</v>
      </c>
      <c r="B214" s="12" t="s">
        <v>178</v>
      </c>
      <c r="C214" s="13" t="s">
        <v>174</v>
      </c>
      <c r="D214" s="18">
        <v>2</v>
      </c>
      <c r="E214" s="18">
        <v>2</v>
      </c>
      <c r="F214" s="18">
        <v>2</v>
      </c>
      <c r="G214" s="18">
        <v>2</v>
      </c>
      <c r="H214" s="18">
        <v>2</v>
      </c>
      <c r="I214" s="18">
        <v>2</v>
      </c>
      <c r="J214" s="19">
        <v>2</v>
      </c>
      <c r="K214" s="18">
        <v>2</v>
      </c>
      <c r="L214" s="18">
        <v>1</v>
      </c>
      <c r="M214" s="18">
        <v>2</v>
      </c>
      <c r="N214" s="18">
        <v>2</v>
      </c>
      <c r="O214" s="18">
        <v>2</v>
      </c>
      <c r="P214" s="18">
        <v>1</v>
      </c>
      <c r="Q214" s="17">
        <v>11</v>
      </c>
      <c r="R214">
        <v>2</v>
      </c>
      <c r="S214">
        <v>0</v>
      </c>
      <c r="T214">
        <v>0</v>
      </c>
      <c r="U214" s="14">
        <f t="shared" si="42"/>
        <v>13</v>
      </c>
      <c r="V214" t="b">
        <f t="shared" si="43"/>
        <v>1</v>
      </c>
      <c r="W214" t="b">
        <f t="shared" si="44"/>
        <v>1</v>
      </c>
      <c r="X214" t="b">
        <f t="shared" si="45"/>
        <v>1</v>
      </c>
      <c r="Y214" t="b">
        <f t="shared" si="46"/>
        <v>1</v>
      </c>
      <c r="Z214" t="b">
        <f t="shared" si="47"/>
        <v>1</v>
      </c>
      <c r="AA214" t="b">
        <f t="shared" si="48"/>
        <v>1</v>
      </c>
      <c r="AB214" t="b">
        <f t="shared" si="49"/>
        <v>1</v>
      </c>
      <c r="AC214" t="b">
        <f t="shared" si="50"/>
        <v>1</v>
      </c>
      <c r="AD214" t="b">
        <f t="shared" si="51"/>
        <v>1</v>
      </c>
      <c r="AE214" t="b">
        <f t="shared" si="52"/>
        <v>1</v>
      </c>
      <c r="AF214" t="b">
        <f t="shared" si="53"/>
        <v>1</v>
      </c>
      <c r="AG214" t="b">
        <f t="shared" si="54"/>
        <v>0</v>
      </c>
      <c r="AH214" t="b">
        <f t="shared" si="55"/>
        <v>0</v>
      </c>
    </row>
    <row r="215" spans="1:34" x14ac:dyDescent="0.2">
      <c r="A215" s="12" t="s">
        <v>298</v>
      </c>
      <c r="B215" s="12" t="s">
        <v>299</v>
      </c>
      <c r="C215" s="13" t="s">
        <v>300</v>
      </c>
      <c r="D215" s="18">
        <v>1</v>
      </c>
      <c r="E215" s="18">
        <v>2</v>
      </c>
      <c r="F215" s="18">
        <v>2</v>
      </c>
      <c r="G215" s="18">
        <v>2</v>
      </c>
      <c r="H215" s="18">
        <v>1</v>
      </c>
      <c r="I215" s="18">
        <v>1</v>
      </c>
      <c r="J215" s="19">
        <v>1</v>
      </c>
      <c r="K215" s="18">
        <v>2</v>
      </c>
      <c r="L215" s="18">
        <v>1</v>
      </c>
      <c r="M215" s="18">
        <v>2</v>
      </c>
      <c r="N215" s="18">
        <v>0</v>
      </c>
      <c r="O215" s="18">
        <v>2</v>
      </c>
      <c r="P215" s="18">
        <v>0</v>
      </c>
      <c r="Q215" s="17">
        <v>6</v>
      </c>
      <c r="R215">
        <v>5</v>
      </c>
      <c r="S215">
        <v>2</v>
      </c>
      <c r="T215">
        <v>0</v>
      </c>
      <c r="U215" s="14">
        <f t="shared" si="42"/>
        <v>13</v>
      </c>
      <c r="V215" t="b">
        <f t="shared" si="43"/>
        <v>1</v>
      </c>
      <c r="W215" t="b">
        <f t="shared" si="44"/>
        <v>1</v>
      </c>
      <c r="X215" t="b">
        <f t="shared" si="45"/>
        <v>1</v>
      </c>
      <c r="Y215" t="b">
        <f t="shared" si="46"/>
        <v>1</v>
      </c>
      <c r="Z215" t="b">
        <f t="shared" si="47"/>
        <v>1</v>
      </c>
      <c r="AA215" t="b">
        <f t="shared" si="48"/>
        <v>1</v>
      </c>
      <c r="AB215" t="b">
        <f t="shared" si="49"/>
        <v>0</v>
      </c>
      <c r="AC215" t="b">
        <f t="shared" si="50"/>
        <v>0</v>
      </c>
      <c r="AD215" t="b">
        <f t="shared" si="51"/>
        <v>0</v>
      </c>
      <c r="AE215" t="b">
        <f t="shared" si="52"/>
        <v>0</v>
      </c>
      <c r="AF215" t="b">
        <f t="shared" si="53"/>
        <v>0</v>
      </c>
      <c r="AG215" t="b">
        <f t="shared" si="54"/>
        <v>0</v>
      </c>
      <c r="AH215" t="b">
        <f t="shared" si="55"/>
        <v>0</v>
      </c>
    </row>
    <row r="216" spans="1:34" x14ac:dyDescent="0.2">
      <c r="A216" s="12" t="s">
        <v>101</v>
      </c>
      <c r="B216" s="12" t="s">
        <v>185</v>
      </c>
      <c r="C216" s="13" t="s">
        <v>185</v>
      </c>
      <c r="D216" s="18">
        <v>0</v>
      </c>
      <c r="E216" s="18">
        <v>2</v>
      </c>
      <c r="F216" s="18">
        <v>1</v>
      </c>
      <c r="G216" s="18">
        <v>2</v>
      </c>
      <c r="H216" s="18">
        <v>0</v>
      </c>
      <c r="I216" s="18">
        <v>1</v>
      </c>
      <c r="J216" s="19">
        <v>1</v>
      </c>
      <c r="K216" s="18">
        <v>1</v>
      </c>
      <c r="L216" s="18">
        <v>2</v>
      </c>
      <c r="M216" s="18">
        <v>1</v>
      </c>
      <c r="N216" s="18">
        <v>1</v>
      </c>
      <c r="O216" s="18">
        <v>2</v>
      </c>
      <c r="P216" s="18">
        <v>1</v>
      </c>
      <c r="Q216" s="17">
        <v>4</v>
      </c>
      <c r="R216">
        <v>7</v>
      </c>
      <c r="S216">
        <v>2</v>
      </c>
      <c r="T216">
        <v>0</v>
      </c>
      <c r="U216" s="14">
        <f t="shared" si="42"/>
        <v>13</v>
      </c>
      <c r="V216" t="b">
        <f t="shared" si="43"/>
        <v>1</v>
      </c>
      <c r="W216" t="b">
        <f t="shared" si="44"/>
        <v>1</v>
      </c>
      <c r="X216" t="b">
        <f t="shared" si="45"/>
        <v>1</v>
      </c>
      <c r="Y216" t="b">
        <f t="shared" si="46"/>
        <v>1</v>
      </c>
      <c r="Z216" t="b">
        <f t="shared" si="47"/>
        <v>0</v>
      </c>
      <c r="AA216" t="b">
        <f t="shared" si="48"/>
        <v>0</v>
      </c>
      <c r="AB216" t="b">
        <f t="shared" si="49"/>
        <v>0</v>
      </c>
      <c r="AC216" t="b">
        <f t="shared" si="50"/>
        <v>0</v>
      </c>
      <c r="AD216" t="b">
        <f t="shared" si="51"/>
        <v>0</v>
      </c>
      <c r="AE216" t="b">
        <f t="shared" si="52"/>
        <v>0</v>
      </c>
      <c r="AF216" t="b">
        <f t="shared" si="53"/>
        <v>0</v>
      </c>
      <c r="AG216" t="b">
        <f t="shared" si="54"/>
        <v>0</v>
      </c>
      <c r="AH216" t="b">
        <f t="shared" si="55"/>
        <v>0</v>
      </c>
    </row>
    <row r="217" spans="1:34" x14ac:dyDescent="0.2">
      <c r="A217" s="12" t="s">
        <v>301</v>
      </c>
      <c r="B217" s="12" t="s">
        <v>190</v>
      </c>
      <c r="C217" s="13" t="s">
        <v>190</v>
      </c>
      <c r="D217" s="18">
        <v>0</v>
      </c>
      <c r="E217" s="18">
        <v>0</v>
      </c>
      <c r="F217" s="18">
        <v>1</v>
      </c>
      <c r="G217" s="18">
        <v>0</v>
      </c>
      <c r="H217" s="18">
        <v>1</v>
      </c>
      <c r="I217" s="18">
        <v>0</v>
      </c>
      <c r="J217" s="19">
        <v>1</v>
      </c>
      <c r="K217" s="18">
        <v>1</v>
      </c>
      <c r="L217" s="18">
        <v>1</v>
      </c>
      <c r="M217" s="18">
        <v>2</v>
      </c>
      <c r="N217" s="18"/>
      <c r="O217" s="18"/>
      <c r="P217" s="18">
        <v>1</v>
      </c>
      <c r="Q217" s="17">
        <v>1</v>
      </c>
      <c r="R217">
        <v>6</v>
      </c>
      <c r="S217">
        <v>4</v>
      </c>
      <c r="T217">
        <v>2</v>
      </c>
      <c r="U217" s="14">
        <f t="shared" si="42"/>
        <v>13</v>
      </c>
      <c r="V217" t="b">
        <f t="shared" si="43"/>
        <v>1</v>
      </c>
      <c r="W217" t="b">
        <f t="shared" si="44"/>
        <v>0</v>
      </c>
      <c r="X217" t="b">
        <f t="shared" si="45"/>
        <v>0</v>
      </c>
      <c r="Y217" t="b">
        <f t="shared" si="46"/>
        <v>0</v>
      </c>
      <c r="Z217" t="b">
        <f t="shared" si="47"/>
        <v>0</v>
      </c>
      <c r="AA217" t="b">
        <f t="shared" si="48"/>
        <v>0</v>
      </c>
      <c r="AB217" t="b">
        <f t="shared" si="49"/>
        <v>0</v>
      </c>
      <c r="AC217" t="b">
        <f t="shared" si="50"/>
        <v>0</v>
      </c>
      <c r="AD217" t="b">
        <f t="shared" si="51"/>
        <v>0</v>
      </c>
      <c r="AE217" t="b">
        <f t="shared" si="52"/>
        <v>0</v>
      </c>
      <c r="AF217" t="b">
        <f t="shared" si="53"/>
        <v>0</v>
      </c>
      <c r="AG217" t="b">
        <f t="shared" si="54"/>
        <v>0</v>
      </c>
      <c r="AH217" t="b">
        <f t="shared" si="55"/>
        <v>0</v>
      </c>
    </row>
    <row r="218" spans="1:34" x14ac:dyDescent="0.2">
      <c r="A218" s="12" t="s">
        <v>302</v>
      </c>
      <c r="B218" s="12" t="s">
        <v>303</v>
      </c>
      <c r="C218" s="13" t="s">
        <v>96</v>
      </c>
      <c r="D218" s="18">
        <v>2</v>
      </c>
      <c r="E218" s="18">
        <v>1</v>
      </c>
      <c r="F218" s="18">
        <v>2</v>
      </c>
      <c r="G218" s="18">
        <v>2</v>
      </c>
      <c r="H218" s="18">
        <v>2</v>
      </c>
      <c r="I218" s="18">
        <v>2</v>
      </c>
      <c r="J218" s="19">
        <v>2</v>
      </c>
      <c r="K218" s="18">
        <v>2</v>
      </c>
      <c r="L218" s="18">
        <v>1</v>
      </c>
      <c r="M218" s="18">
        <v>2</v>
      </c>
      <c r="N218" s="18">
        <v>1</v>
      </c>
      <c r="O218" s="18">
        <v>2</v>
      </c>
      <c r="P218" s="18">
        <v>0</v>
      </c>
      <c r="Q218" s="17">
        <v>9</v>
      </c>
      <c r="R218">
        <v>3</v>
      </c>
      <c r="S218">
        <v>1</v>
      </c>
      <c r="T218">
        <v>0</v>
      </c>
      <c r="U218" s="14">
        <f t="shared" si="42"/>
        <v>13</v>
      </c>
      <c r="V218" t="b">
        <f t="shared" si="43"/>
        <v>1</v>
      </c>
      <c r="W218" t="b">
        <f t="shared" si="44"/>
        <v>1</v>
      </c>
      <c r="X218" t="b">
        <f t="shared" si="45"/>
        <v>1</v>
      </c>
      <c r="Y218" t="b">
        <f t="shared" si="46"/>
        <v>1</v>
      </c>
      <c r="Z218" t="b">
        <f t="shared" si="47"/>
        <v>1</v>
      </c>
      <c r="AA218" t="b">
        <f t="shared" si="48"/>
        <v>1</v>
      </c>
      <c r="AB218" t="b">
        <f t="shared" si="49"/>
        <v>1</v>
      </c>
      <c r="AC218" t="b">
        <f t="shared" si="50"/>
        <v>1</v>
      </c>
      <c r="AD218" t="b">
        <f t="shared" si="51"/>
        <v>1</v>
      </c>
      <c r="AE218" t="b">
        <f t="shared" si="52"/>
        <v>0</v>
      </c>
      <c r="AF218" t="b">
        <f t="shared" si="53"/>
        <v>0</v>
      </c>
      <c r="AG218" t="b">
        <f t="shared" si="54"/>
        <v>0</v>
      </c>
      <c r="AH218" t="b">
        <f t="shared" si="55"/>
        <v>0</v>
      </c>
    </row>
    <row r="219" spans="1:34" x14ac:dyDescent="0.2">
      <c r="A219" s="12" t="s">
        <v>304</v>
      </c>
      <c r="B219" s="12" t="s">
        <v>305</v>
      </c>
      <c r="C219" s="13" t="s">
        <v>306</v>
      </c>
      <c r="D219" s="18">
        <v>0</v>
      </c>
      <c r="E219" s="18">
        <v>1</v>
      </c>
      <c r="F219" s="18">
        <v>1</v>
      </c>
      <c r="G219" s="18">
        <v>1</v>
      </c>
      <c r="H219" s="18">
        <v>0</v>
      </c>
      <c r="I219" s="18">
        <v>0</v>
      </c>
      <c r="J219" s="19">
        <v>1</v>
      </c>
      <c r="K219" s="18">
        <v>0</v>
      </c>
      <c r="L219" s="18">
        <v>1</v>
      </c>
      <c r="M219" s="18">
        <v>1</v>
      </c>
      <c r="N219" s="18">
        <v>1</v>
      </c>
      <c r="O219" s="18">
        <v>2</v>
      </c>
      <c r="P219" s="18">
        <v>0</v>
      </c>
      <c r="Q219" s="17">
        <v>1</v>
      </c>
      <c r="R219">
        <v>7</v>
      </c>
      <c r="S219">
        <v>5</v>
      </c>
      <c r="T219">
        <v>0</v>
      </c>
      <c r="U219" s="14">
        <f t="shared" si="42"/>
        <v>13</v>
      </c>
      <c r="V219" t="b">
        <f t="shared" si="43"/>
        <v>1</v>
      </c>
      <c r="W219" t="b">
        <f t="shared" si="44"/>
        <v>0</v>
      </c>
      <c r="X219" t="b">
        <f t="shared" si="45"/>
        <v>0</v>
      </c>
      <c r="Y219" t="b">
        <f t="shared" si="46"/>
        <v>0</v>
      </c>
      <c r="Z219" t="b">
        <f t="shared" si="47"/>
        <v>0</v>
      </c>
      <c r="AA219" t="b">
        <f t="shared" si="48"/>
        <v>0</v>
      </c>
      <c r="AB219" t="b">
        <f t="shared" si="49"/>
        <v>0</v>
      </c>
      <c r="AC219" t="b">
        <f t="shared" si="50"/>
        <v>0</v>
      </c>
      <c r="AD219" t="b">
        <f t="shared" si="51"/>
        <v>0</v>
      </c>
      <c r="AE219" t="b">
        <f t="shared" si="52"/>
        <v>0</v>
      </c>
      <c r="AF219" t="b">
        <f t="shared" si="53"/>
        <v>0</v>
      </c>
      <c r="AG219" t="b">
        <f t="shared" si="54"/>
        <v>0</v>
      </c>
      <c r="AH219" t="b">
        <f t="shared" si="55"/>
        <v>0</v>
      </c>
    </row>
    <row r="220" spans="1:34" x14ac:dyDescent="0.2">
      <c r="A220" s="12" t="s">
        <v>307</v>
      </c>
      <c r="B220" s="12" t="s">
        <v>199</v>
      </c>
      <c r="C220" s="13" t="s">
        <v>199</v>
      </c>
      <c r="D220" s="18">
        <v>0</v>
      </c>
      <c r="E220" s="18">
        <v>1</v>
      </c>
      <c r="F220" s="18">
        <v>1</v>
      </c>
      <c r="G220" s="18">
        <v>0</v>
      </c>
      <c r="H220" s="18">
        <v>0</v>
      </c>
      <c r="I220" s="18">
        <v>0</v>
      </c>
      <c r="J220" s="19">
        <v>1</v>
      </c>
      <c r="K220" s="18">
        <v>0</v>
      </c>
      <c r="L220" s="18">
        <v>0</v>
      </c>
      <c r="M220" s="18">
        <v>1</v>
      </c>
      <c r="N220" s="18">
        <v>0</v>
      </c>
      <c r="O220" s="18">
        <v>2</v>
      </c>
      <c r="P220" s="18">
        <v>0</v>
      </c>
      <c r="Q220" s="17">
        <v>1</v>
      </c>
      <c r="R220">
        <v>4</v>
      </c>
      <c r="S220">
        <v>8</v>
      </c>
      <c r="T220">
        <v>0</v>
      </c>
      <c r="U220" s="14">
        <f t="shared" si="42"/>
        <v>13</v>
      </c>
      <c r="V220" t="b">
        <f t="shared" si="43"/>
        <v>1</v>
      </c>
      <c r="W220" t="b">
        <f t="shared" si="44"/>
        <v>0</v>
      </c>
      <c r="X220" t="b">
        <f t="shared" si="45"/>
        <v>0</v>
      </c>
      <c r="Y220" t="b">
        <f t="shared" si="46"/>
        <v>0</v>
      </c>
      <c r="Z220" t="b">
        <f t="shared" si="47"/>
        <v>0</v>
      </c>
      <c r="AA220" t="b">
        <f t="shared" si="48"/>
        <v>0</v>
      </c>
      <c r="AB220" t="b">
        <f t="shared" si="49"/>
        <v>0</v>
      </c>
      <c r="AC220" t="b">
        <f t="shared" si="50"/>
        <v>0</v>
      </c>
      <c r="AD220" t="b">
        <f t="shared" si="51"/>
        <v>0</v>
      </c>
      <c r="AE220" t="b">
        <f t="shared" si="52"/>
        <v>0</v>
      </c>
      <c r="AF220" t="b">
        <f t="shared" si="53"/>
        <v>0</v>
      </c>
      <c r="AG220" t="b">
        <f t="shared" si="54"/>
        <v>0</v>
      </c>
      <c r="AH220" t="b">
        <f t="shared" si="55"/>
        <v>0</v>
      </c>
    </row>
    <row r="221" spans="1:34" x14ac:dyDescent="0.2">
      <c r="A221" s="12" t="s">
        <v>308</v>
      </c>
      <c r="B221" s="12" t="s">
        <v>199</v>
      </c>
      <c r="C221" s="13" t="s">
        <v>199</v>
      </c>
      <c r="D221" s="18">
        <v>0</v>
      </c>
      <c r="E221" s="18">
        <v>2</v>
      </c>
      <c r="F221" s="18">
        <v>0</v>
      </c>
      <c r="G221" s="18">
        <v>0</v>
      </c>
      <c r="H221" s="18">
        <v>0</v>
      </c>
      <c r="I221" s="18">
        <v>0</v>
      </c>
      <c r="J221" s="19">
        <v>0</v>
      </c>
      <c r="K221" s="18">
        <v>0</v>
      </c>
      <c r="L221" s="18">
        <v>0</v>
      </c>
      <c r="M221" s="18">
        <v>0</v>
      </c>
      <c r="N221" s="18">
        <v>0</v>
      </c>
      <c r="O221" s="18">
        <v>2</v>
      </c>
      <c r="P221" s="18">
        <v>0</v>
      </c>
      <c r="Q221" s="17">
        <v>2</v>
      </c>
      <c r="R221">
        <v>0</v>
      </c>
      <c r="S221">
        <v>11</v>
      </c>
      <c r="T221">
        <v>0</v>
      </c>
      <c r="U221" s="14">
        <f t="shared" si="42"/>
        <v>13</v>
      </c>
      <c r="V221" t="b">
        <f t="shared" si="43"/>
        <v>1</v>
      </c>
      <c r="W221" t="b">
        <f t="shared" si="44"/>
        <v>1</v>
      </c>
      <c r="X221" t="b">
        <f t="shared" si="45"/>
        <v>0</v>
      </c>
      <c r="Y221" t="b">
        <f t="shared" si="46"/>
        <v>0</v>
      </c>
      <c r="Z221" t="b">
        <f t="shared" si="47"/>
        <v>0</v>
      </c>
      <c r="AA221" t="b">
        <f t="shared" si="48"/>
        <v>0</v>
      </c>
      <c r="AB221" t="b">
        <f t="shared" si="49"/>
        <v>0</v>
      </c>
      <c r="AC221" t="b">
        <f t="shared" si="50"/>
        <v>0</v>
      </c>
      <c r="AD221" t="b">
        <f t="shared" si="51"/>
        <v>0</v>
      </c>
      <c r="AE221" t="b">
        <f t="shared" si="52"/>
        <v>0</v>
      </c>
      <c r="AF221" t="b">
        <f t="shared" si="53"/>
        <v>0</v>
      </c>
      <c r="AG221" t="b">
        <f t="shared" si="54"/>
        <v>0</v>
      </c>
      <c r="AH221" t="b">
        <f t="shared" si="55"/>
        <v>0</v>
      </c>
    </row>
    <row r="222" spans="1:34" x14ac:dyDescent="0.2">
      <c r="A222" s="12" t="s">
        <v>309</v>
      </c>
      <c r="B222" s="12" t="s">
        <v>310</v>
      </c>
      <c r="C222" s="13" t="s">
        <v>310</v>
      </c>
      <c r="D222" s="18">
        <v>0</v>
      </c>
      <c r="E222" s="18">
        <v>1</v>
      </c>
      <c r="F222" s="18">
        <v>0</v>
      </c>
      <c r="G222" s="18">
        <v>0</v>
      </c>
      <c r="H222" s="18">
        <v>2</v>
      </c>
      <c r="I222" s="18">
        <v>0</v>
      </c>
      <c r="J222" s="19">
        <v>1</v>
      </c>
      <c r="K222" s="18">
        <v>0</v>
      </c>
      <c r="L222" s="18">
        <v>2</v>
      </c>
      <c r="M222" s="18">
        <v>0</v>
      </c>
      <c r="N222" s="18">
        <v>0</v>
      </c>
      <c r="O222" s="18">
        <v>0</v>
      </c>
      <c r="P222" s="18">
        <v>0</v>
      </c>
      <c r="Q222" s="17">
        <v>2</v>
      </c>
      <c r="R222">
        <v>2</v>
      </c>
      <c r="S222">
        <v>9</v>
      </c>
      <c r="T222">
        <v>0</v>
      </c>
      <c r="U222" s="14">
        <f t="shared" si="42"/>
        <v>13</v>
      </c>
      <c r="V222" t="b">
        <f t="shared" si="43"/>
        <v>1</v>
      </c>
      <c r="W222" t="b">
        <f t="shared" si="44"/>
        <v>1</v>
      </c>
      <c r="X222" t="b">
        <f t="shared" si="45"/>
        <v>0</v>
      </c>
      <c r="Y222" t="b">
        <f t="shared" si="46"/>
        <v>0</v>
      </c>
      <c r="Z222" t="b">
        <f t="shared" si="47"/>
        <v>0</v>
      </c>
      <c r="AA222" t="b">
        <f t="shared" si="48"/>
        <v>0</v>
      </c>
      <c r="AB222" t="b">
        <f t="shared" si="49"/>
        <v>0</v>
      </c>
      <c r="AC222" t="b">
        <f t="shared" si="50"/>
        <v>0</v>
      </c>
      <c r="AD222" t="b">
        <f t="shared" si="51"/>
        <v>0</v>
      </c>
      <c r="AE222" t="b">
        <f t="shared" si="52"/>
        <v>0</v>
      </c>
      <c r="AF222" t="b">
        <f t="shared" si="53"/>
        <v>0</v>
      </c>
      <c r="AG222" t="b">
        <f t="shared" si="54"/>
        <v>0</v>
      </c>
      <c r="AH222" t="b">
        <f t="shared" si="55"/>
        <v>0</v>
      </c>
    </row>
    <row r="223" spans="1:34" x14ac:dyDescent="0.2">
      <c r="A223" s="12" t="s">
        <v>311</v>
      </c>
      <c r="B223" s="12" t="s">
        <v>201</v>
      </c>
      <c r="C223" s="13" t="s">
        <v>53</v>
      </c>
      <c r="D223" s="18">
        <v>1</v>
      </c>
      <c r="E223" s="18">
        <v>1</v>
      </c>
      <c r="F223" s="18">
        <v>2</v>
      </c>
      <c r="G223" s="18">
        <v>2</v>
      </c>
      <c r="H223" s="18">
        <v>2</v>
      </c>
      <c r="I223" s="18">
        <v>2</v>
      </c>
      <c r="J223" s="19">
        <v>2</v>
      </c>
      <c r="K223" s="18">
        <v>1</v>
      </c>
      <c r="L223" s="18">
        <v>1</v>
      </c>
      <c r="M223" s="18">
        <v>2</v>
      </c>
      <c r="N223" s="18">
        <v>1</v>
      </c>
      <c r="O223" s="18">
        <v>2</v>
      </c>
      <c r="P223" s="18">
        <v>1</v>
      </c>
      <c r="Q223" s="17">
        <v>7</v>
      </c>
      <c r="R223">
        <v>6</v>
      </c>
      <c r="S223">
        <v>0</v>
      </c>
      <c r="T223">
        <v>0</v>
      </c>
      <c r="U223" s="14">
        <f t="shared" si="42"/>
        <v>13</v>
      </c>
      <c r="V223" t="b">
        <f t="shared" si="43"/>
        <v>1</v>
      </c>
      <c r="W223" t="b">
        <f t="shared" si="44"/>
        <v>1</v>
      </c>
      <c r="X223" t="b">
        <f t="shared" si="45"/>
        <v>1</v>
      </c>
      <c r="Y223" t="b">
        <f t="shared" si="46"/>
        <v>1</v>
      </c>
      <c r="Z223" t="b">
        <f t="shared" si="47"/>
        <v>1</v>
      </c>
      <c r="AA223" t="b">
        <f t="shared" si="48"/>
        <v>1</v>
      </c>
      <c r="AB223" t="b">
        <f t="shared" si="49"/>
        <v>1</v>
      </c>
      <c r="AC223" t="b">
        <f t="shared" si="50"/>
        <v>0</v>
      </c>
      <c r="AD223" t="b">
        <f t="shared" si="51"/>
        <v>0</v>
      </c>
      <c r="AE223" t="b">
        <f t="shared" si="52"/>
        <v>0</v>
      </c>
      <c r="AF223" t="b">
        <f t="shared" si="53"/>
        <v>0</v>
      </c>
      <c r="AG223" t="b">
        <f t="shared" si="54"/>
        <v>0</v>
      </c>
      <c r="AH223" t="b">
        <f t="shared" si="55"/>
        <v>0</v>
      </c>
    </row>
    <row r="224" spans="1:34" x14ac:dyDescent="0.2">
      <c r="A224" s="12" t="s">
        <v>312</v>
      </c>
      <c r="B224" s="12" t="s">
        <v>201</v>
      </c>
      <c r="C224" s="13" t="s">
        <v>53</v>
      </c>
      <c r="D224" s="18">
        <v>0</v>
      </c>
      <c r="E224" s="18">
        <v>1</v>
      </c>
      <c r="F224" s="18">
        <v>1</v>
      </c>
      <c r="G224" s="18">
        <v>0</v>
      </c>
      <c r="H224" s="18">
        <v>0</v>
      </c>
      <c r="I224" s="18">
        <v>0</v>
      </c>
      <c r="J224" s="19">
        <v>0</v>
      </c>
      <c r="K224" s="18">
        <v>0</v>
      </c>
      <c r="L224" s="18"/>
      <c r="M224" s="18">
        <v>0</v>
      </c>
      <c r="N224" s="18">
        <v>0</v>
      </c>
      <c r="O224" s="18">
        <v>0</v>
      </c>
      <c r="P224" s="18">
        <v>0</v>
      </c>
      <c r="Q224" s="17">
        <v>0</v>
      </c>
      <c r="R224">
        <v>2</v>
      </c>
      <c r="S224">
        <v>10</v>
      </c>
      <c r="T224">
        <v>1</v>
      </c>
      <c r="U224" s="14">
        <f t="shared" si="42"/>
        <v>13</v>
      </c>
      <c r="V224" t="b">
        <f t="shared" si="43"/>
        <v>0</v>
      </c>
      <c r="W224" t="b">
        <f t="shared" si="44"/>
        <v>0</v>
      </c>
      <c r="X224" t="b">
        <f t="shared" si="45"/>
        <v>0</v>
      </c>
      <c r="Y224" t="b">
        <f t="shared" si="46"/>
        <v>0</v>
      </c>
      <c r="Z224" t="b">
        <f t="shared" si="47"/>
        <v>0</v>
      </c>
      <c r="AA224" t="b">
        <f t="shared" si="48"/>
        <v>0</v>
      </c>
      <c r="AB224" t="b">
        <f t="shared" si="49"/>
        <v>0</v>
      </c>
      <c r="AC224" t="b">
        <f t="shared" si="50"/>
        <v>0</v>
      </c>
      <c r="AD224" t="b">
        <f t="shared" si="51"/>
        <v>0</v>
      </c>
      <c r="AE224" t="b">
        <f t="shared" si="52"/>
        <v>0</v>
      </c>
      <c r="AF224" t="b">
        <f t="shared" si="53"/>
        <v>0</v>
      </c>
      <c r="AG224" t="b">
        <f t="shared" si="54"/>
        <v>0</v>
      </c>
      <c r="AH224" t="b">
        <f t="shared" si="55"/>
        <v>0</v>
      </c>
    </row>
    <row r="225" spans="1:34" x14ac:dyDescent="0.2">
      <c r="A225" s="12" t="s">
        <v>313</v>
      </c>
      <c r="B225" s="12" t="s">
        <v>201</v>
      </c>
      <c r="C225" s="13" t="s">
        <v>53</v>
      </c>
      <c r="D225" s="18">
        <v>2</v>
      </c>
      <c r="E225" s="18">
        <v>1</v>
      </c>
      <c r="F225" s="18">
        <v>2</v>
      </c>
      <c r="G225" s="18">
        <v>2</v>
      </c>
      <c r="H225" s="18">
        <v>2</v>
      </c>
      <c r="I225" s="18">
        <v>0</v>
      </c>
      <c r="J225" s="19">
        <v>1</v>
      </c>
      <c r="K225" s="18">
        <v>0</v>
      </c>
      <c r="L225" s="18">
        <v>1</v>
      </c>
      <c r="M225" s="18">
        <v>2</v>
      </c>
      <c r="N225" s="18">
        <v>1</v>
      </c>
      <c r="O225" s="18">
        <v>2</v>
      </c>
      <c r="P225" s="18">
        <v>2</v>
      </c>
      <c r="Q225" s="17">
        <v>7</v>
      </c>
      <c r="R225">
        <v>4</v>
      </c>
      <c r="S225">
        <v>2</v>
      </c>
      <c r="T225">
        <v>0</v>
      </c>
      <c r="U225" s="14">
        <f t="shared" si="42"/>
        <v>13</v>
      </c>
      <c r="V225" t="b">
        <f t="shared" si="43"/>
        <v>1</v>
      </c>
      <c r="W225" t="b">
        <f t="shared" si="44"/>
        <v>1</v>
      </c>
      <c r="X225" t="b">
        <f t="shared" si="45"/>
        <v>1</v>
      </c>
      <c r="Y225" t="b">
        <f t="shared" si="46"/>
        <v>1</v>
      </c>
      <c r="Z225" t="b">
        <f t="shared" si="47"/>
        <v>1</v>
      </c>
      <c r="AA225" t="b">
        <f t="shared" si="48"/>
        <v>1</v>
      </c>
      <c r="AB225" t="b">
        <f t="shared" si="49"/>
        <v>1</v>
      </c>
      <c r="AC225" t="b">
        <f t="shared" si="50"/>
        <v>0</v>
      </c>
      <c r="AD225" t="b">
        <f t="shared" si="51"/>
        <v>0</v>
      </c>
      <c r="AE225" t="b">
        <f t="shared" si="52"/>
        <v>0</v>
      </c>
      <c r="AF225" t="b">
        <f t="shared" si="53"/>
        <v>0</v>
      </c>
      <c r="AG225" t="b">
        <f t="shared" si="54"/>
        <v>0</v>
      </c>
      <c r="AH225" t="b">
        <f t="shared" si="55"/>
        <v>0</v>
      </c>
    </row>
    <row r="226" spans="1:34" x14ac:dyDescent="0.2">
      <c r="A226" s="12">
        <v>2007</v>
      </c>
      <c r="B226" s="12" t="s">
        <v>314</v>
      </c>
      <c r="C226" s="13" t="s">
        <v>314</v>
      </c>
      <c r="D226" s="18">
        <v>0</v>
      </c>
      <c r="E226" s="18">
        <v>1</v>
      </c>
      <c r="F226" s="18">
        <v>1</v>
      </c>
      <c r="G226" s="18">
        <v>0</v>
      </c>
      <c r="H226" s="18">
        <v>1</v>
      </c>
      <c r="I226" s="18">
        <v>0</v>
      </c>
      <c r="J226" s="19">
        <v>1</v>
      </c>
      <c r="K226" s="18">
        <v>0</v>
      </c>
      <c r="L226" s="18">
        <v>0</v>
      </c>
      <c r="M226" s="18">
        <v>0</v>
      </c>
      <c r="N226" s="18">
        <v>1</v>
      </c>
      <c r="O226" s="18">
        <v>2</v>
      </c>
      <c r="P226" s="18">
        <v>0</v>
      </c>
      <c r="Q226" s="17">
        <v>1</v>
      </c>
      <c r="R226">
        <v>5</v>
      </c>
      <c r="S226">
        <v>7</v>
      </c>
      <c r="T226">
        <v>0</v>
      </c>
      <c r="U226" s="14">
        <f t="shared" si="42"/>
        <v>13</v>
      </c>
      <c r="V226" t="b">
        <f t="shared" si="43"/>
        <v>1</v>
      </c>
      <c r="W226" t="b">
        <f t="shared" si="44"/>
        <v>0</v>
      </c>
      <c r="X226" t="b">
        <f t="shared" si="45"/>
        <v>0</v>
      </c>
      <c r="Y226" t="b">
        <f t="shared" si="46"/>
        <v>0</v>
      </c>
      <c r="Z226" t="b">
        <f t="shared" si="47"/>
        <v>0</v>
      </c>
      <c r="AA226" t="b">
        <f t="shared" si="48"/>
        <v>0</v>
      </c>
      <c r="AB226" t="b">
        <f t="shared" si="49"/>
        <v>0</v>
      </c>
      <c r="AC226" t="b">
        <f t="shared" si="50"/>
        <v>0</v>
      </c>
      <c r="AD226" t="b">
        <f t="shared" si="51"/>
        <v>0</v>
      </c>
      <c r="AE226" t="b">
        <f t="shared" si="52"/>
        <v>0</v>
      </c>
      <c r="AF226" t="b">
        <f t="shared" si="53"/>
        <v>0</v>
      </c>
      <c r="AG226" t="b">
        <f t="shared" si="54"/>
        <v>0</v>
      </c>
      <c r="AH226" t="b">
        <f t="shared" si="55"/>
        <v>0</v>
      </c>
    </row>
    <row r="227" spans="1:34" x14ac:dyDescent="0.2">
      <c r="A227" s="12" t="s">
        <v>315</v>
      </c>
      <c r="B227" s="12" t="s">
        <v>206</v>
      </c>
      <c r="C227" s="13" t="s">
        <v>206</v>
      </c>
      <c r="D227" s="18">
        <v>2</v>
      </c>
      <c r="E227" s="18">
        <v>0</v>
      </c>
      <c r="F227" s="18">
        <v>2</v>
      </c>
      <c r="G227" s="18">
        <v>2</v>
      </c>
      <c r="H227" s="18">
        <v>2</v>
      </c>
      <c r="I227" s="18">
        <v>0</v>
      </c>
      <c r="J227" s="19">
        <v>2</v>
      </c>
      <c r="K227" s="18">
        <v>1</v>
      </c>
      <c r="L227" s="18">
        <v>1</v>
      </c>
      <c r="M227" s="18">
        <v>1</v>
      </c>
      <c r="N227" s="18">
        <v>1</v>
      </c>
      <c r="O227" s="18">
        <v>2</v>
      </c>
      <c r="P227" s="18">
        <v>2</v>
      </c>
      <c r="Q227" s="17">
        <v>7</v>
      </c>
      <c r="R227">
        <v>4</v>
      </c>
      <c r="S227">
        <v>2</v>
      </c>
      <c r="T227">
        <v>0</v>
      </c>
      <c r="U227" s="14">
        <f t="shared" si="42"/>
        <v>13</v>
      </c>
      <c r="V227" t="b">
        <f t="shared" si="43"/>
        <v>1</v>
      </c>
      <c r="W227" t="b">
        <f t="shared" si="44"/>
        <v>1</v>
      </c>
      <c r="X227" t="b">
        <f t="shared" si="45"/>
        <v>1</v>
      </c>
      <c r="Y227" t="b">
        <f t="shared" si="46"/>
        <v>1</v>
      </c>
      <c r="Z227" t="b">
        <f t="shared" si="47"/>
        <v>1</v>
      </c>
      <c r="AA227" t="b">
        <f t="shared" si="48"/>
        <v>1</v>
      </c>
      <c r="AB227" t="b">
        <f t="shared" si="49"/>
        <v>1</v>
      </c>
      <c r="AC227" t="b">
        <f t="shared" si="50"/>
        <v>0</v>
      </c>
      <c r="AD227" t="b">
        <f t="shared" si="51"/>
        <v>0</v>
      </c>
      <c r="AE227" t="b">
        <f t="shared" si="52"/>
        <v>0</v>
      </c>
      <c r="AF227" t="b">
        <f t="shared" si="53"/>
        <v>0</v>
      </c>
      <c r="AG227" t="b">
        <f t="shared" si="54"/>
        <v>0</v>
      </c>
      <c r="AH227" t="b">
        <f t="shared" si="55"/>
        <v>0</v>
      </c>
    </row>
    <row r="228" spans="1:34" x14ac:dyDescent="0.2">
      <c r="A228" s="12" t="s">
        <v>316</v>
      </c>
      <c r="B228" s="12" t="s">
        <v>206</v>
      </c>
      <c r="C228" s="13" t="s">
        <v>206</v>
      </c>
      <c r="D228" s="18">
        <v>1</v>
      </c>
      <c r="E228" s="18">
        <v>2</v>
      </c>
      <c r="F228" s="18">
        <v>2</v>
      </c>
      <c r="G228" s="18">
        <v>2</v>
      </c>
      <c r="H228" s="18">
        <v>1</v>
      </c>
      <c r="I228" s="18">
        <v>0</v>
      </c>
      <c r="J228" s="19">
        <v>2</v>
      </c>
      <c r="K228" s="18">
        <v>1</v>
      </c>
      <c r="L228" s="18">
        <v>1</v>
      </c>
      <c r="M228" s="18">
        <v>2</v>
      </c>
      <c r="N228" s="18">
        <v>1</v>
      </c>
      <c r="O228" s="18">
        <v>2</v>
      </c>
      <c r="P228" s="18">
        <v>1</v>
      </c>
      <c r="Q228" s="17">
        <v>6</v>
      </c>
      <c r="R228">
        <v>6</v>
      </c>
      <c r="S228">
        <v>1</v>
      </c>
      <c r="T228">
        <v>0</v>
      </c>
      <c r="U228" s="14">
        <f t="shared" si="42"/>
        <v>13</v>
      </c>
      <c r="V228" t="b">
        <f t="shared" si="43"/>
        <v>1</v>
      </c>
      <c r="W228" t="b">
        <f t="shared" si="44"/>
        <v>1</v>
      </c>
      <c r="X228" t="b">
        <f t="shared" si="45"/>
        <v>1</v>
      </c>
      <c r="Y228" t="b">
        <f t="shared" si="46"/>
        <v>1</v>
      </c>
      <c r="Z228" t="b">
        <f t="shared" si="47"/>
        <v>1</v>
      </c>
      <c r="AA228" t="b">
        <f t="shared" si="48"/>
        <v>1</v>
      </c>
      <c r="AB228" t="b">
        <f t="shared" si="49"/>
        <v>0</v>
      </c>
      <c r="AC228" t="b">
        <f t="shared" si="50"/>
        <v>0</v>
      </c>
      <c r="AD228" t="b">
        <f t="shared" si="51"/>
        <v>0</v>
      </c>
      <c r="AE228" t="b">
        <f t="shared" si="52"/>
        <v>0</v>
      </c>
      <c r="AF228" t="b">
        <f t="shared" si="53"/>
        <v>0</v>
      </c>
      <c r="AG228" t="b">
        <f t="shared" si="54"/>
        <v>0</v>
      </c>
      <c r="AH228" t="b">
        <f t="shared" si="55"/>
        <v>0</v>
      </c>
    </row>
    <row r="229" spans="1:34" x14ac:dyDescent="0.2">
      <c r="A229" s="12" t="s">
        <v>317</v>
      </c>
      <c r="B229" s="12" t="s">
        <v>206</v>
      </c>
      <c r="C229" s="13" t="s">
        <v>206</v>
      </c>
      <c r="D229" s="18">
        <v>1</v>
      </c>
      <c r="E229" s="18">
        <v>1</v>
      </c>
      <c r="F229" s="18">
        <v>1</v>
      </c>
      <c r="G229" s="18">
        <v>2</v>
      </c>
      <c r="H229" s="18">
        <v>1</v>
      </c>
      <c r="I229" s="18">
        <v>2</v>
      </c>
      <c r="J229" s="19">
        <v>1</v>
      </c>
      <c r="K229" s="18">
        <v>2</v>
      </c>
      <c r="L229" s="18">
        <v>1</v>
      </c>
      <c r="M229" s="18">
        <v>0</v>
      </c>
      <c r="N229" s="18">
        <v>1</v>
      </c>
      <c r="O229" s="18">
        <v>2</v>
      </c>
      <c r="P229" s="18">
        <v>1</v>
      </c>
      <c r="Q229" s="17">
        <v>4</v>
      </c>
      <c r="R229">
        <v>8</v>
      </c>
      <c r="S229">
        <v>1</v>
      </c>
      <c r="T229">
        <v>0</v>
      </c>
      <c r="U229" s="14">
        <f t="shared" si="42"/>
        <v>13</v>
      </c>
      <c r="V229" t="b">
        <f t="shared" si="43"/>
        <v>1</v>
      </c>
      <c r="W229" t="b">
        <f t="shared" si="44"/>
        <v>1</v>
      </c>
      <c r="X229" t="b">
        <f t="shared" si="45"/>
        <v>1</v>
      </c>
      <c r="Y229" t="b">
        <f t="shared" si="46"/>
        <v>1</v>
      </c>
      <c r="Z229" t="b">
        <f t="shared" si="47"/>
        <v>0</v>
      </c>
      <c r="AA229" t="b">
        <f t="shared" si="48"/>
        <v>0</v>
      </c>
      <c r="AB229" t="b">
        <f t="shared" si="49"/>
        <v>0</v>
      </c>
      <c r="AC229" t="b">
        <f t="shared" si="50"/>
        <v>0</v>
      </c>
      <c r="AD229" t="b">
        <f t="shared" si="51"/>
        <v>0</v>
      </c>
      <c r="AE229" t="b">
        <f t="shared" si="52"/>
        <v>0</v>
      </c>
      <c r="AF229" t="b">
        <f t="shared" si="53"/>
        <v>0</v>
      </c>
      <c r="AG229" t="b">
        <f t="shared" si="54"/>
        <v>0</v>
      </c>
      <c r="AH229" t="b">
        <f t="shared" si="55"/>
        <v>0</v>
      </c>
    </row>
    <row r="230" spans="1:34" x14ac:dyDescent="0.2">
      <c r="A230" s="12" t="s">
        <v>318</v>
      </c>
      <c r="B230" s="12" t="s">
        <v>206</v>
      </c>
      <c r="C230" s="13" t="s">
        <v>206</v>
      </c>
      <c r="D230" s="18">
        <v>2</v>
      </c>
      <c r="E230" s="18">
        <v>2</v>
      </c>
      <c r="F230" s="18">
        <v>2</v>
      </c>
      <c r="G230" s="18">
        <v>2</v>
      </c>
      <c r="H230" s="18">
        <v>2</v>
      </c>
      <c r="I230" s="18">
        <v>2</v>
      </c>
      <c r="J230" s="19">
        <v>2</v>
      </c>
      <c r="K230" s="18">
        <v>1</v>
      </c>
      <c r="L230" s="18">
        <v>1</v>
      </c>
      <c r="M230" s="18">
        <v>2</v>
      </c>
      <c r="N230" s="18">
        <v>1</v>
      </c>
      <c r="O230" s="18">
        <v>2</v>
      </c>
      <c r="P230" s="18">
        <v>2</v>
      </c>
      <c r="Q230" s="17">
        <v>10</v>
      </c>
      <c r="R230">
        <v>3</v>
      </c>
      <c r="S230">
        <v>0</v>
      </c>
      <c r="T230">
        <v>0</v>
      </c>
      <c r="U230" s="14">
        <f t="shared" si="42"/>
        <v>13</v>
      </c>
      <c r="V230" t="b">
        <f t="shared" si="43"/>
        <v>1</v>
      </c>
      <c r="W230" t="b">
        <f t="shared" si="44"/>
        <v>1</v>
      </c>
      <c r="X230" t="b">
        <f t="shared" si="45"/>
        <v>1</v>
      </c>
      <c r="Y230" t="b">
        <f t="shared" si="46"/>
        <v>1</v>
      </c>
      <c r="Z230" t="b">
        <f t="shared" si="47"/>
        <v>1</v>
      </c>
      <c r="AA230" t="b">
        <f t="shared" si="48"/>
        <v>1</v>
      </c>
      <c r="AB230" t="b">
        <f t="shared" si="49"/>
        <v>1</v>
      </c>
      <c r="AC230" t="b">
        <f t="shared" si="50"/>
        <v>1</v>
      </c>
      <c r="AD230" t="b">
        <f t="shared" si="51"/>
        <v>1</v>
      </c>
      <c r="AE230" t="b">
        <f t="shared" si="52"/>
        <v>1</v>
      </c>
      <c r="AF230" t="b">
        <f t="shared" si="53"/>
        <v>0</v>
      </c>
      <c r="AG230" t="b">
        <f t="shared" si="54"/>
        <v>0</v>
      </c>
      <c r="AH230" t="b">
        <f t="shared" si="55"/>
        <v>0</v>
      </c>
    </row>
    <row r="231" spans="1:34" x14ac:dyDescent="0.2">
      <c r="A231" s="12" t="s">
        <v>319</v>
      </c>
      <c r="B231" s="12" t="s">
        <v>206</v>
      </c>
      <c r="C231" s="13" t="s">
        <v>206</v>
      </c>
      <c r="D231" s="18">
        <v>2</v>
      </c>
      <c r="E231" s="18">
        <v>0</v>
      </c>
      <c r="F231" s="18">
        <v>2</v>
      </c>
      <c r="G231" s="18">
        <v>2</v>
      </c>
      <c r="H231" s="18">
        <v>2</v>
      </c>
      <c r="I231" s="18">
        <v>0</v>
      </c>
      <c r="J231" s="19">
        <v>2</v>
      </c>
      <c r="K231" s="18"/>
      <c r="L231" s="18">
        <v>1</v>
      </c>
      <c r="M231" s="18">
        <v>2</v>
      </c>
      <c r="N231" s="18">
        <v>2</v>
      </c>
      <c r="O231" s="18">
        <v>2</v>
      </c>
      <c r="P231" s="18">
        <v>1</v>
      </c>
      <c r="Q231" s="17">
        <v>8</v>
      </c>
      <c r="R231">
        <v>2</v>
      </c>
      <c r="S231">
        <v>2</v>
      </c>
      <c r="T231">
        <v>1</v>
      </c>
      <c r="U231" s="14">
        <f t="shared" si="42"/>
        <v>13</v>
      </c>
      <c r="V231" t="b">
        <f t="shared" si="43"/>
        <v>1</v>
      </c>
      <c r="W231" t="b">
        <f t="shared" si="44"/>
        <v>1</v>
      </c>
      <c r="X231" t="b">
        <f t="shared" si="45"/>
        <v>1</v>
      </c>
      <c r="Y231" t="b">
        <f t="shared" si="46"/>
        <v>1</v>
      </c>
      <c r="Z231" t="b">
        <f t="shared" si="47"/>
        <v>1</v>
      </c>
      <c r="AA231" t="b">
        <f t="shared" si="48"/>
        <v>1</v>
      </c>
      <c r="AB231" t="b">
        <f t="shared" si="49"/>
        <v>1</v>
      </c>
      <c r="AC231" t="b">
        <f t="shared" si="50"/>
        <v>1</v>
      </c>
      <c r="AD231" t="b">
        <f t="shared" si="51"/>
        <v>0</v>
      </c>
      <c r="AE231" t="b">
        <f t="shared" si="52"/>
        <v>0</v>
      </c>
      <c r="AF231" t="b">
        <f t="shared" si="53"/>
        <v>0</v>
      </c>
      <c r="AG231" t="b">
        <f t="shared" si="54"/>
        <v>0</v>
      </c>
      <c r="AH231" t="b">
        <f t="shared" si="55"/>
        <v>0</v>
      </c>
    </row>
    <row r="232" spans="1:34" x14ac:dyDescent="0.2">
      <c r="A232" s="12" t="s">
        <v>320</v>
      </c>
      <c r="B232" s="12" t="s">
        <v>206</v>
      </c>
      <c r="C232" s="13" t="s">
        <v>206</v>
      </c>
      <c r="D232" s="18">
        <v>1</v>
      </c>
      <c r="E232" s="18">
        <v>2</v>
      </c>
      <c r="F232" s="18">
        <v>2</v>
      </c>
      <c r="G232" s="18">
        <v>2</v>
      </c>
      <c r="H232" s="18">
        <v>1</v>
      </c>
      <c r="I232" s="18">
        <v>1</v>
      </c>
      <c r="J232" s="19">
        <v>2</v>
      </c>
      <c r="K232" s="18">
        <v>1</v>
      </c>
      <c r="L232" s="18">
        <v>1</v>
      </c>
      <c r="M232" s="18">
        <v>2</v>
      </c>
      <c r="N232" s="18">
        <v>1</v>
      </c>
      <c r="O232" s="18">
        <v>2</v>
      </c>
      <c r="P232" s="18">
        <v>1</v>
      </c>
      <c r="Q232" s="17">
        <v>6</v>
      </c>
      <c r="R232">
        <v>7</v>
      </c>
      <c r="S232">
        <v>0</v>
      </c>
      <c r="T232">
        <v>0</v>
      </c>
      <c r="U232" s="14">
        <f t="shared" si="42"/>
        <v>13</v>
      </c>
      <c r="V232" t="b">
        <f t="shared" si="43"/>
        <v>1</v>
      </c>
      <c r="W232" t="b">
        <f t="shared" si="44"/>
        <v>1</v>
      </c>
      <c r="X232" t="b">
        <f t="shared" si="45"/>
        <v>1</v>
      </c>
      <c r="Y232" t="b">
        <f t="shared" si="46"/>
        <v>1</v>
      </c>
      <c r="Z232" t="b">
        <f t="shared" si="47"/>
        <v>1</v>
      </c>
      <c r="AA232" t="b">
        <f t="shared" si="48"/>
        <v>1</v>
      </c>
      <c r="AB232" t="b">
        <f t="shared" si="49"/>
        <v>0</v>
      </c>
      <c r="AC232" t="b">
        <f t="shared" si="50"/>
        <v>0</v>
      </c>
      <c r="AD232" t="b">
        <f t="shared" si="51"/>
        <v>0</v>
      </c>
      <c r="AE232" t="b">
        <f t="shared" si="52"/>
        <v>0</v>
      </c>
      <c r="AF232" t="b">
        <f t="shared" si="53"/>
        <v>0</v>
      </c>
      <c r="AG232" t="b">
        <f t="shared" si="54"/>
        <v>0</v>
      </c>
      <c r="AH232" t="b">
        <f t="shared" si="55"/>
        <v>0</v>
      </c>
    </row>
    <row r="233" spans="1:34" x14ac:dyDescent="0.2">
      <c r="A233" s="12" t="s">
        <v>321</v>
      </c>
      <c r="B233" s="12" t="s">
        <v>206</v>
      </c>
      <c r="C233" s="13" t="s">
        <v>206</v>
      </c>
      <c r="D233" s="18">
        <v>2</v>
      </c>
      <c r="E233" s="18">
        <v>2</v>
      </c>
      <c r="F233" s="18">
        <v>2</v>
      </c>
      <c r="G233" s="18">
        <v>2</v>
      </c>
      <c r="H233" s="18">
        <v>2</v>
      </c>
      <c r="I233" s="18">
        <v>0</v>
      </c>
      <c r="J233" s="19">
        <v>2</v>
      </c>
      <c r="K233" s="18">
        <v>1</v>
      </c>
      <c r="L233" s="18">
        <v>1</v>
      </c>
      <c r="M233" s="18">
        <v>2</v>
      </c>
      <c r="N233" s="18">
        <v>2</v>
      </c>
      <c r="O233" s="18">
        <v>2</v>
      </c>
      <c r="P233" s="18">
        <v>2</v>
      </c>
      <c r="Q233" s="17">
        <v>10</v>
      </c>
      <c r="R233">
        <v>2</v>
      </c>
      <c r="S233">
        <v>1</v>
      </c>
      <c r="T233">
        <v>0</v>
      </c>
      <c r="U233" s="14">
        <f t="shared" si="42"/>
        <v>13</v>
      </c>
      <c r="V233" t="b">
        <f t="shared" si="43"/>
        <v>1</v>
      </c>
      <c r="W233" t="b">
        <f t="shared" si="44"/>
        <v>1</v>
      </c>
      <c r="X233" t="b">
        <f t="shared" si="45"/>
        <v>1</v>
      </c>
      <c r="Y233" t="b">
        <f t="shared" si="46"/>
        <v>1</v>
      </c>
      <c r="Z233" t="b">
        <f t="shared" si="47"/>
        <v>1</v>
      </c>
      <c r="AA233" t="b">
        <f t="shared" si="48"/>
        <v>1</v>
      </c>
      <c r="AB233" t="b">
        <f t="shared" si="49"/>
        <v>1</v>
      </c>
      <c r="AC233" t="b">
        <f t="shared" si="50"/>
        <v>1</v>
      </c>
      <c r="AD233" t="b">
        <f t="shared" si="51"/>
        <v>1</v>
      </c>
      <c r="AE233" t="b">
        <f t="shared" si="52"/>
        <v>1</v>
      </c>
      <c r="AF233" t="b">
        <f t="shared" si="53"/>
        <v>0</v>
      </c>
      <c r="AG233" t="b">
        <f t="shared" si="54"/>
        <v>0</v>
      </c>
      <c r="AH233" t="b">
        <f t="shared" si="55"/>
        <v>0</v>
      </c>
    </row>
    <row r="234" spans="1:34" x14ac:dyDescent="0.2">
      <c r="A234" s="12" t="s">
        <v>322</v>
      </c>
      <c r="B234" s="12" t="s">
        <v>206</v>
      </c>
      <c r="C234" s="13" t="s">
        <v>206</v>
      </c>
      <c r="D234" s="18">
        <v>2</v>
      </c>
      <c r="E234" s="18">
        <v>0</v>
      </c>
      <c r="F234" s="18">
        <v>1</v>
      </c>
      <c r="G234" s="18">
        <v>2</v>
      </c>
      <c r="H234" s="18">
        <v>2</v>
      </c>
      <c r="I234" s="18">
        <v>0</v>
      </c>
      <c r="J234" s="19">
        <v>2</v>
      </c>
      <c r="K234" s="18">
        <v>1</v>
      </c>
      <c r="L234" s="18">
        <v>1</v>
      </c>
      <c r="M234" s="18">
        <v>2</v>
      </c>
      <c r="N234" s="18">
        <v>1</v>
      </c>
      <c r="O234" s="18">
        <v>2</v>
      </c>
      <c r="P234" s="18">
        <v>2</v>
      </c>
      <c r="Q234" s="17">
        <v>7</v>
      </c>
      <c r="R234">
        <v>4</v>
      </c>
      <c r="S234">
        <v>2</v>
      </c>
      <c r="T234">
        <v>0</v>
      </c>
      <c r="U234" s="14">
        <f t="shared" si="42"/>
        <v>13</v>
      </c>
      <c r="V234" t="b">
        <f t="shared" si="43"/>
        <v>1</v>
      </c>
      <c r="W234" t="b">
        <f t="shared" si="44"/>
        <v>1</v>
      </c>
      <c r="X234" t="b">
        <f t="shared" si="45"/>
        <v>1</v>
      </c>
      <c r="Y234" t="b">
        <f t="shared" si="46"/>
        <v>1</v>
      </c>
      <c r="Z234" t="b">
        <f t="shared" si="47"/>
        <v>1</v>
      </c>
      <c r="AA234" t="b">
        <f t="shared" si="48"/>
        <v>1</v>
      </c>
      <c r="AB234" t="b">
        <f t="shared" si="49"/>
        <v>1</v>
      </c>
      <c r="AC234" t="b">
        <f t="shared" si="50"/>
        <v>0</v>
      </c>
      <c r="AD234" t="b">
        <f t="shared" si="51"/>
        <v>0</v>
      </c>
      <c r="AE234" t="b">
        <f t="shared" si="52"/>
        <v>0</v>
      </c>
      <c r="AF234" t="b">
        <f t="shared" si="53"/>
        <v>0</v>
      </c>
      <c r="AG234" t="b">
        <f t="shared" si="54"/>
        <v>0</v>
      </c>
      <c r="AH234" t="b">
        <f t="shared" si="55"/>
        <v>0</v>
      </c>
    </row>
    <row r="235" spans="1:34" x14ac:dyDescent="0.2">
      <c r="A235" s="12" t="s">
        <v>323</v>
      </c>
      <c r="B235" s="12" t="s">
        <v>206</v>
      </c>
      <c r="C235" s="13" t="s">
        <v>206</v>
      </c>
      <c r="D235" s="18">
        <v>2</v>
      </c>
      <c r="E235" s="18">
        <v>1</v>
      </c>
      <c r="F235" s="18">
        <v>1</v>
      </c>
      <c r="G235" s="18">
        <v>2</v>
      </c>
      <c r="H235" s="18">
        <v>0</v>
      </c>
      <c r="I235" s="18">
        <v>0</v>
      </c>
      <c r="J235" s="19">
        <v>1</v>
      </c>
      <c r="K235" s="18">
        <v>0</v>
      </c>
      <c r="L235" s="18">
        <v>2</v>
      </c>
      <c r="M235" s="18">
        <v>0</v>
      </c>
      <c r="N235" s="18">
        <v>0</v>
      </c>
      <c r="O235" s="18">
        <v>0</v>
      </c>
      <c r="P235" s="18">
        <v>0</v>
      </c>
      <c r="Q235" s="17">
        <v>3</v>
      </c>
      <c r="R235">
        <v>3</v>
      </c>
      <c r="S235">
        <v>7</v>
      </c>
      <c r="T235">
        <v>0</v>
      </c>
      <c r="U235" s="14">
        <f t="shared" si="42"/>
        <v>13</v>
      </c>
      <c r="V235" t="b">
        <f t="shared" si="43"/>
        <v>1</v>
      </c>
      <c r="W235" t="b">
        <f t="shared" si="44"/>
        <v>1</v>
      </c>
      <c r="X235" t="b">
        <f t="shared" si="45"/>
        <v>1</v>
      </c>
      <c r="Y235" t="b">
        <f t="shared" si="46"/>
        <v>0</v>
      </c>
      <c r="Z235" t="b">
        <f t="shared" si="47"/>
        <v>0</v>
      </c>
      <c r="AA235" t="b">
        <f t="shared" si="48"/>
        <v>0</v>
      </c>
      <c r="AB235" t="b">
        <f t="shared" si="49"/>
        <v>0</v>
      </c>
      <c r="AC235" t="b">
        <f t="shared" si="50"/>
        <v>0</v>
      </c>
      <c r="AD235" t="b">
        <f t="shared" si="51"/>
        <v>0</v>
      </c>
      <c r="AE235" t="b">
        <f t="shared" si="52"/>
        <v>0</v>
      </c>
      <c r="AF235" t="b">
        <f t="shared" si="53"/>
        <v>0</v>
      </c>
      <c r="AG235" t="b">
        <f t="shared" si="54"/>
        <v>0</v>
      </c>
      <c r="AH235" t="b">
        <f t="shared" si="55"/>
        <v>0</v>
      </c>
    </row>
    <row r="236" spans="1:34" x14ac:dyDescent="0.2">
      <c r="A236" s="12" t="s">
        <v>324</v>
      </c>
      <c r="B236" s="12" t="s">
        <v>206</v>
      </c>
      <c r="C236" s="13" t="s">
        <v>206</v>
      </c>
      <c r="D236" s="18">
        <v>1</v>
      </c>
      <c r="E236" s="18">
        <v>1</v>
      </c>
      <c r="F236" s="18">
        <v>1</v>
      </c>
      <c r="G236" s="18">
        <v>2</v>
      </c>
      <c r="H236" s="18">
        <v>0</v>
      </c>
      <c r="I236" s="18">
        <v>0</v>
      </c>
      <c r="J236" s="19">
        <v>1</v>
      </c>
      <c r="K236" s="18">
        <v>0</v>
      </c>
      <c r="L236" s="18">
        <v>2</v>
      </c>
      <c r="M236" s="18">
        <v>0</v>
      </c>
      <c r="N236" s="18">
        <v>0</v>
      </c>
      <c r="O236" s="18">
        <v>0</v>
      </c>
      <c r="P236" s="18">
        <v>0</v>
      </c>
      <c r="Q236" s="17">
        <v>2</v>
      </c>
      <c r="R236">
        <v>4</v>
      </c>
      <c r="S236">
        <v>7</v>
      </c>
      <c r="T236">
        <v>0</v>
      </c>
      <c r="U236" s="14">
        <f t="shared" si="42"/>
        <v>13</v>
      </c>
      <c r="V236" t="b">
        <f t="shared" si="43"/>
        <v>1</v>
      </c>
      <c r="W236" t="b">
        <f t="shared" si="44"/>
        <v>1</v>
      </c>
      <c r="X236" t="b">
        <f t="shared" si="45"/>
        <v>0</v>
      </c>
      <c r="Y236" t="b">
        <f t="shared" si="46"/>
        <v>0</v>
      </c>
      <c r="Z236" t="b">
        <f t="shared" si="47"/>
        <v>0</v>
      </c>
      <c r="AA236" t="b">
        <f t="shared" si="48"/>
        <v>0</v>
      </c>
      <c r="AB236" t="b">
        <f t="shared" si="49"/>
        <v>0</v>
      </c>
      <c r="AC236" t="b">
        <f t="shared" si="50"/>
        <v>0</v>
      </c>
      <c r="AD236" t="b">
        <f t="shared" si="51"/>
        <v>0</v>
      </c>
      <c r="AE236" t="b">
        <f t="shared" si="52"/>
        <v>0</v>
      </c>
      <c r="AF236" t="b">
        <f t="shared" si="53"/>
        <v>0</v>
      </c>
      <c r="AG236" t="b">
        <f t="shared" si="54"/>
        <v>0</v>
      </c>
      <c r="AH236" t="b">
        <f t="shared" si="55"/>
        <v>0</v>
      </c>
    </row>
    <row r="237" spans="1:34" x14ac:dyDescent="0.2">
      <c r="A237" s="12" t="s">
        <v>325</v>
      </c>
      <c r="B237" s="12" t="s">
        <v>326</v>
      </c>
      <c r="C237" s="13" t="s">
        <v>326</v>
      </c>
      <c r="D237" s="18">
        <v>0</v>
      </c>
      <c r="E237" s="18">
        <v>2</v>
      </c>
      <c r="F237" s="18">
        <v>2</v>
      </c>
      <c r="G237" s="18">
        <v>2</v>
      </c>
      <c r="H237" s="18">
        <v>0</v>
      </c>
      <c r="I237" s="18">
        <v>1</v>
      </c>
      <c r="J237" s="19">
        <v>0</v>
      </c>
      <c r="K237" s="18">
        <v>1</v>
      </c>
      <c r="L237" s="18">
        <v>1</v>
      </c>
      <c r="M237" s="18">
        <v>2</v>
      </c>
      <c r="N237" s="18">
        <v>0</v>
      </c>
      <c r="O237" s="18">
        <v>2</v>
      </c>
      <c r="P237" s="18">
        <v>0</v>
      </c>
      <c r="Q237" s="17">
        <v>5</v>
      </c>
      <c r="R237">
        <v>3</v>
      </c>
      <c r="S237">
        <v>5</v>
      </c>
      <c r="T237">
        <v>0</v>
      </c>
      <c r="U237" s="14">
        <f t="shared" si="42"/>
        <v>13</v>
      </c>
      <c r="V237" t="b">
        <f t="shared" si="43"/>
        <v>1</v>
      </c>
      <c r="W237" t="b">
        <f t="shared" si="44"/>
        <v>1</v>
      </c>
      <c r="X237" t="b">
        <f t="shared" si="45"/>
        <v>1</v>
      </c>
      <c r="Y237" t="b">
        <f t="shared" si="46"/>
        <v>1</v>
      </c>
      <c r="Z237" t="b">
        <f t="shared" si="47"/>
        <v>1</v>
      </c>
      <c r="AA237" t="b">
        <f t="shared" si="48"/>
        <v>0</v>
      </c>
      <c r="AB237" t="b">
        <f t="shared" si="49"/>
        <v>0</v>
      </c>
      <c r="AC237" t="b">
        <f t="shared" si="50"/>
        <v>0</v>
      </c>
      <c r="AD237" t="b">
        <f t="shared" si="51"/>
        <v>0</v>
      </c>
      <c r="AE237" t="b">
        <f t="shared" si="52"/>
        <v>0</v>
      </c>
      <c r="AF237" t="b">
        <f t="shared" si="53"/>
        <v>0</v>
      </c>
      <c r="AG237" t="b">
        <f t="shared" si="54"/>
        <v>0</v>
      </c>
      <c r="AH237" t="b">
        <f t="shared" si="55"/>
        <v>0</v>
      </c>
    </row>
    <row r="238" spans="1:34" x14ac:dyDescent="0.2">
      <c r="A238" s="12" t="s">
        <v>327</v>
      </c>
      <c r="B238" s="12" t="s">
        <v>326</v>
      </c>
      <c r="C238" s="13" t="s">
        <v>326</v>
      </c>
      <c r="D238" s="18">
        <v>0</v>
      </c>
      <c r="E238" s="18">
        <v>2</v>
      </c>
      <c r="F238" s="18">
        <v>2</v>
      </c>
      <c r="G238" s="18">
        <v>2</v>
      </c>
      <c r="H238" s="18">
        <v>0</v>
      </c>
      <c r="I238" s="18">
        <v>0</v>
      </c>
      <c r="J238" s="19">
        <v>0</v>
      </c>
      <c r="K238" s="18">
        <v>1</v>
      </c>
      <c r="L238" s="18">
        <v>0</v>
      </c>
      <c r="M238" s="18">
        <v>0</v>
      </c>
      <c r="N238" s="18">
        <v>0</v>
      </c>
      <c r="O238" s="18">
        <v>2</v>
      </c>
      <c r="P238" s="18">
        <v>0</v>
      </c>
      <c r="Q238" s="17">
        <v>4</v>
      </c>
      <c r="R238">
        <v>1</v>
      </c>
      <c r="S238">
        <v>8</v>
      </c>
      <c r="T238">
        <v>0</v>
      </c>
      <c r="U238" s="14">
        <f t="shared" si="42"/>
        <v>13</v>
      </c>
      <c r="V238" t="b">
        <f t="shared" si="43"/>
        <v>1</v>
      </c>
      <c r="W238" t="b">
        <f t="shared" si="44"/>
        <v>1</v>
      </c>
      <c r="X238" t="b">
        <f t="shared" si="45"/>
        <v>1</v>
      </c>
      <c r="Y238" t="b">
        <f t="shared" si="46"/>
        <v>1</v>
      </c>
      <c r="Z238" t="b">
        <f t="shared" si="47"/>
        <v>0</v>
      </c>
      <c r="AA238" t="b">
        <f t="shared" si="48"/>
        <v>0</v>
      </c>
      <c r="AB238" t="b">
        <f t="shared" si="49"/>
        <v>0</v>
      </c>
      <c r="AC238" t="b">
        <f t="shared" si="50"/>
        <v>0</v>
      </c>
      <c r="AD238" t="b">
        <f t="shared" si="51"/>
        <v>0</v>
      </c>
      <c r="AE238" t="b">
        <f t="shared" si="52"/>
        <v>0</v>
      </c>
      <c r="AF238" t="b">
        <f t="shared" si="53"/>
        <v>0</v>
      </c>
      <c r="AG238" t="b">
        <f t="shared" si="54"/>
        <v>0</v>
      </c>
      <c r="AH238" t="b">
        <f t="shared" si="55"/>
        <v>0</v>
      </c>
    </row>
    <row r="239" spans="1:34" x14ac:dyDescent="0.2">
      <c r="A239" s="12" t="s">
        <v>144</v>
      </c>
      <c r="B239" s="12" t="s">
        <v>326</v>
      </c>
      <c r="C239" s="13" t="s">
        <v>326</v>
      </c>
      <c r="D239" s="18">
        <v>0</v>
      </c>
      <c r="E239" s="18">
        <v>2</v>
      </c>
      <c r="F239" s="18">
        <v>2</v>
      </c>
      <c r="G239" s="18">
        <v>2</v>
      </c>
      <c r="H239" s="18">
        <v>0</v>
      </c>
      <c r="I239" s="18">
        <v>1</v>
      </c>
      <c r="J239" s="19">
        <v>1</v>
      </c>
      <c r="K239" s="18">
        <v>1</v>
      </c>
      <c r="L239" s="18">
        <v>1</v>
      </c>
      <c r="M239" s="18">
        <v>1</v>
      </c>
      <c r="N239" s="18">
        <v>0</v>
      </c>
      <c r="O239" s="18">
        <v>2</v>
      </c>
      <c r="P239" s="18">
        <v>0</v>
      </c>
      <c r="Q239" s="17">
        <v>4</v>
      </c>
      <c r="R239">
        <v>5</v>
      </c>
      <c r="S239">
        <v>4</v>
      </c>
      <c r="T239">
        <v>0</v>
      </c>
      <c r="U239" s="14">
        <f t="shared" si="42"/>
        <v>13</v>
      </c>
      <c r="V239" t="b">
        <f t="shared" si="43"/>
        <v>1</v>
      </c>
      <c r="W239" t="b">
        <f t="shared" si="44"/>
        <v>1</v>
      </c>
      <c r="X239" t="b">
        <f t="shared" si="45"/>
        <v>1</v>
      </c>
      <c r="Y239" t="b">
        <f t="shared" si="46"/>
        <v>1</v>
      </c>
      <c r="Z239" t="b">
        <f t="shared" si="47"/>
        <v>0</v>
      </c>
      <c r="AA239" t="b">
        <f t="shared" si="48"/>
        <v>0</v>
      </c>
      <c r="AB239" t="b">
        <f t="shared" si="49"/>
        <v>0</v>
      </c>
      <c r="AC239" t="b">
        <f t="shared" si="50"/>
        <v>0</v>
      </c>
      <c r="AD239" t="b">
        <f t="shared" si="51"/>
        <v>0</v>
      </c>
      <c r="AE239" t="b">
        <f t="shared" si="52"/>
        <v>0</v>
      </c>
      <c r="AF239" t="b">
        <f t="shared" si="53"/>
        <v>0</v>
      </c>
      <c r="AG239" t="b">
        <f t="shared" si="54"/>
        <v>0</v>
      </c>
      <c r="AH239" t="b">
        <f t="shared" si="55"/>
        <v>0</v>
      </c>
    </row>
    <row r="240" spans="1:34" x14ac:dyDescent="0.2">
      <c r="A240" s="12" t="s">
        <v>253</v>
      </c>
      <c r="B240" s="12" t="s">
        <v>36</v>
      </c>
      <c r="C240" s="13" t="s">
        <v>36</v>
      </c>
      <c r="D240" s="18">
        <v>2</v>
      </c>
      <c r="E240" s="18">
        <v>2</v>
      </c>
      <c r="F240" s="18">
        <v>2</v>
      </c>
      <c r="G240" s="18">
        <v>0</v>
      </c>
      <c r="H240" s="18">
        <v>2</v>
      </c>
      <c r="I240" s="18">
        <v>1</v>
      </c>
      <c r="J240" s="19">
        <v>2</v>
      </c>
      <c r="K240" s="18">
        <v>2</v>
      </c>
      <c r="L240" s="18">
        <v>1</v>
      </c>
      <c r="M240" s="18">
        <v>2</v>
      </c>
      <c r="N240" s="18">
        <v>2</v>
      </c>
      <c r="O240" s="18">
        <v>2</v>
      </c>
      <c r="P240" s="18">
        <v>2</v>
      </c>
      <c r="Q240" s="17">
        <v>10</v>
      </c>
      <c r="R240">
        <v>2</v>
      </c>
      <c r="S240">
        <v>1</v>
      </c>
      <c r="T240">
        <v>0</v>
      </c>
      <c r="U240" s="14">
        <f t="shared" si="42"/>
        <v>13</v>
      </c>
      <c r="V240" t="b">
        <f t="shared" si="43"/>
        <v>1</v>
      </c>
      <c r="W240" t="b">
        <f t="shared" si="44"/>
        <v>1</v>
      </c>
      <c r="X240" t="b">
        <f t="shared" si="45"/>
        <v>1</v>
      </c>
      <c r="Y240" t="b">
        <f t="shared" si="46"/>
        <v>1</v>
      </c>
      <c r="Z240" t="b">
        <f t="shared" si="47"/>
        <v>1</v>
      </c>
      <c r="AA240" t="b">
        <f t="shared" si="48"/>
        <v>1</v>
      </c>
      <c r="AB240" t="b">
        <f t="shared" si="49"/>
        <v>1</v>
      </c>
      <c r="AC240" t="b">
        <f t="shared" si="50"/>
        <v>1</v>
      </c>
      <c r="AD240" t="b">
        <f t="shared" si="51"/>
        <v>1</v>
      </c>
      <c r="AE240" t="b">
        <f t="shared" si="52"/>
        <v>1</v>
      </c>
      <c r="AF240" t="b">
        <f t="shared" si="53"/>
        <v>0</v>
      </c>
      <c r="AG240" t="b">
        <f t="shared" si="54"/>
        <v>0</v>
      </c>
      <c r="AH240" t="b">
        <f t="shared" si="55"/>
        <v>0</v>
      </c>
    </row>
    <row r="241" spans="1:34" x14ac:dyDescent="0.2">
      <c r="A241" s="12" t="s">
        <v>328</v>
      </c>
      <c r="B241" s="12" t="s">
        <v>36</v>
      </c>
      <c r="C241" s="13" t="s">
        <v>36</v>
      </c>
      <c r="D241" s="18">
        <v>2</v>
      </c>
      <c r="E241" s="18">
        <v>2</v>
      </c>
      <c r="F241" s="18">
        <v>1</v>
      </c>
      <c r="G241" s="18">
        <v>2</v>
      </c>
      <c r="H241" s="18">
        <v>0</v>
      </c>
      <c r="I241" s="18">
        <v>1</v>
      </c>
      <c r="J241" s="19">
        <v>1</v>
      </c>
      <c r="K241" s="18">
        <v>1</v>
      </c>
      <c r="L241" s="18"/>
      <c r="M241" s="18">
        <v>2</v>
      </c>
      <c r="N241" s="18"/>
      <c r="O241" s="18">
        <v>2</v>
      </c>
      <c r="P241" s="18">
        <v>0</v>
      </c>
      <c r="Q241" s="17">
        <v>5</v>
      </c>
      <c r="R241">
        <v>4</v>
      </c>
      <c r="S241">
        <v>2</v>
      </c>
      <c r="T241">
        <v>2</v>
      </c>
      <c r="U241" s="14">
        <f t="shared" si="42"/>
        <v>13</v>
      </c>
      <c r="V241" t="b">
        <f t="shared" si="43"/>
        <v>1</v>
      </c>
      <c r="W241" t="b">
        <f t="shared" si="44"/>
        <v>1</v>
      </c>
      <c r="X241" t="b">
        <f t="shared" si="45"/>
        <v>1</v>
      </c>
      <c r="Y241" t="b">
        <f t="shared" si="46"/>
        <v>1</v>
      </c>
      <c r="Z241" t="b">
        <f t="shared" si="47"/>
        <v>1</v>
      </c>
      <c r="AA241" t="b">
        <f t="shared" si="48"/>
        <v>0</v>
      </c>
      <c r="AB241" t="b">
        <f t="shared" si="49"/>
        <v>0</v>
      </c>
      <c r="AC241" t="b">
        <f t="shared" si="50"/>
        <v>0</v>
      </c>
      <c r="AD241" t="b">
        <f t="shared" si="51"/>
        <v>0</v>
      </c>
      <c r="AE241" t="b">
        <f t="shared" si="52"/>
        <v>0</v>
      </c>
      <c r="AF241" t="b">
        <f t="shared" si="53"/>
        <v>0</v>
      </c>
      <c r="AG241" t="b">
        <f t="shared" si="54"/>
        <v>0</v>
      </c>
      <c r="AH241" t="b">
        <f t="shared" si="55"/>
        <v>0</v>
      </c>
    </row>
    <row r="242" spans="1:34" x14ac:dyDescent="0.2">
      <c r="A242" s="12" t="s">
        <v>329</v>
      </c>
      <c r="B242" s="12" t="s">
        <v>36</v>
      </c>
      <c r="C242" s="13" t="s">
        <v>36</v>
      </c>
      <c r="D242" s="18">
        <v>2</v>
      </c>
      <c r="E242" s="18">
        <v>1</v>
      </c>
      <c r="F242" s="18">
        <v>2</v>
      </c>
      <c r="G242" s="18">
        <v>0</v>
      </c>
      <c r="H242" s="18">
        <v>2</v>
      </c>
      <c r="I242" s="18">
        <v>1</v>
      </c>
      <c r="J242" s="19">
        <v>2</v>
      </c>
      <c r="K242" s="18">
        <v>2</v>
      </c>
      <c r="L242" s="18">
        <v>1</v>
      </c>
      <c r="M242" s="18">
        <v>2</v>
      </c>
      <c r="N242" s="18">
        <v>2</v>
      </c>
      <c r="O242" s="18">
        <v>2</v>
      </c>
      <c r="P242" s="18">
        <v>2</v>
      </c>
      <c r="Q242" s="17">
        <v>9</v>
      </c>
      <c r="R242">
        <v>3</v>
      </c>
      <c r="S242">
        <v>1</v>
      </c>
      <c r="T242">
        <v>0</v>
      </c>
      <c r="U242" s="14">
        <f t="shared" si="42"/>
        <v>13</v>
      </c>
      <c r="V242" t="b">
        <f t="shared" si="43"/>
        <v>1</v>
      </c>
      <c r="W242" t="b">
        <f t="shared" si="44"/>
        <v>1</v>
      </c>
      <c r="X242" t="b">
        <f t="shared" si="45"/>
        <v>1</v>
      </c>
      <c r="Y242" t="b">
        <f t="shared" si="46"/>
        <v>1</v>
      </c>
      <c r="Z242" t="b">
        <f t="shared" si="47"/>
        <v>1</v>
      </c>
      <c r="AA242" t="b">
        <f t="shared" si="48"/>
        <v>1</v>
      </c>
      <c r="AB242" t="b">
        <f t="shared" si="49"/>
        <v>1</v>
      </c>
      <c r="AC242" t="b">
        <f t="shared" si="50"/>
        <v>1</v>
      </c>
      <c r="AD242" t="b">
        <f t="shared" si="51"/>
        <v>1</v>
      </c>
      <c r="AE242" t="b">
        <f t="shared" si="52"/>
        <v>0</v>
      </c>
      <c r="AF242" t="b">
        <f t="shared" si="53"/>
        <v>0</v>
      </c>
      <c r="AG242" t="b">
        <f t="shared" si="54"/>
        <v>0</v>
      </c>
      <c r="AH242" t="b">
        <f t="shared" si="55"/>
        <v>0</v>
      </c>
    </row>
    <row r="243" spans="1:34" x14ac:dyDescent="0.2">
      <c r="A243" s="12" t="s">
        <v>330</v>
      </c>
      <c r="B243" s="12" t="s">
        <v>36</v>
      </c>
      <c r="C243" s="13" t="s">
        <v>36</v>
      </c>
      <c r="D243" s="18">
        <v>2</v>
      </c>
      <c r="E243" s="18">
        <v>2</v>
      </c>
      <c r="F243" s="18">
        <v>2</v>
      </c>
      <c r="G243" s="18">
        <v>0</v>
      </c>
      <c r="H243" s="18">
        <v>2</v>
      </c>
      <c r="I243" s="18">
        <v>1</v>
      </c>
      <c r="J243" s="19">
        <v>2</v>
      </c>
      <c r="K243" s="18">
        <v>2</v>
      </c>
      <c r="L243" s="18">
        <v>1</v>
      </c>
      <c r="M243" s="18">
        <v>2</v>
      </c>
      <c r="N243" s="18">
        <v>2</v>
      </c>
      <c r="O243" s="18">
        <v>2</v>
      </c>
      <c r="P243" s="18">
        <v>2</v>
      </c>
      <c r="Q243" s="17">
        <v>10</v>
      </c>
      <c r="R243">
        <v>2</v>
      </c>
      <c r="S243">
        <v>1</v>
      </c>
      <c r="T243">
        <v>0</v>
      </c>
      <c r="U243" s="14">
        <f t="shared" si="42"/>
        <v>13</v>
      </c>
      <c r="V243" t="b">
        <f t="shared" si="43"/>
        <v>1</v>
      </c>
      <c r="W243" t="b">
        <f t="shared" si="44"/>
        <v>1</v>
      </c>
      <c r="X243" t="b">
        <f t="shared" si="45"/>
        <v>1</v>
      </c>
      <c r="Y243" t="b">
        <f t="shared" si="46"/>
        <v>1</v>
      </c>
      <c r="Z243" t="b">
        <f t="shared" si="47"/>
        <v>1</v>
      </c>
      <c r="AA243" t="b">
        <f t="shared" si="48"/>
        <v>1</v>
      </c>
      <c r="AB243" t="b">
        <f t="shared" si="49"/>
        <v>1</v>
      </c>
      <c r="AC243" t="b">
        <f t="shared" si="50"/>
        <v>1</v>
      </c>
      <c r="AD243" t="b">
        <f t="shared" si="51"/>
        <v>1</v>
      </c>
      <c r="AE243" t="b">
        <f t="shared" si="52"/>
        <v>1</v>
      </c>
      <c r="AF243" t="b">
        <f t="shared" si="53"/>
        <v>0</v>
      </c>
      <c r="AG243" t="b">
        <f t="shared" si="54"/>
        <v>0</v>
      </c>
      <c r="AH243" t="b">
        <f t="shared" si="55"/>
        <v>0</v>
      </c>
    </row>
    <row r="244" spans="1:34" x14ac:dyDescent="0.2">
      <c r="A244" s="12" t="s">
        <v>56</v>
      </c>
      <c r="B244" s="12" t="s">
        <v>41</v>
      </c>
      <c r="C244" s="13" t="s">
        <v>41</v>
      </c>
      <c r="D244" s="18">
        <v>0</v>
      </c>
      <c r="E244" s="18">
        <v>0</v>
      </c>
      <c r="F244" s="18">
        <v>2</v>
      </c>
      <c r="G244" s="18">
        <v>0</v>
      </c>
      <c r="H244" s="18">
        <v>0</v>
      </c>
      <c r="I244" s="18">
        <v>0</v>
      </c>
      <c r="J244" s="19">
        <v>0</v>
      </c>
      <c r="K244" s="18">
        <v>0</v>
      </c>
      <c r="L244" s="18">
        <v>2</v>
      </c>
      <c r="M244" s="18">
        <v>1</v>
      </c>
      <c r="N244" s="18">
        <v>0</v>
      </c>
      <c r="O244" s="18">
        <v>2</v>
      </c>
      <c r="P244" s="18">
        <v>0</v>
      </c>
      <c r="Q244" s="17">
        <v>3</v>
      </c>
      <c r="R244">
        <v>1</v>
      </c>
      <c r="S244">
        <v>9</v>
      </c>
      <c r="T244">
        <v>0</v>
      </c>
      <c r="U244" s="14">
        <f t="shared" si="42"/>
        <v>13</v>
      </c>
      <c r="V244" t="b">
        <f t="shared" si="43"/>
        <v>1</v>
      </c>
      <c r="W244" t="b">
        <f t="shared" si="44"/>
        <v>1</v>
      </c>
      <c r="X244" t="b">
        <f t="shared" si="45"/>
        <v>1</v>
      </c>
      <c r="Y244" t="b">
        <f t="shared" si="46"/>
        <v>0</v>
      </c>
      <c r="Z244" t="b">
        <f t="shared" si="47"/>
        <v>0</v>
      </c>
      <c r="AA244" t="b">
        <f t="shared" si="48"/>
        <v>0</v>
      </c>
      <c r="AB244" t="b">
        <f t="shared" si="49"/>
        <v>0</v>
      </c>
      <c r="AC244" t="b">
        <f t="shared" si="50"/>
        <v>0</v>
      </c>
      <c r="AD244" t="b">
        <f t="shared" si="51"/>
        <v>0</v>
      </c>
      <c r="AE244" t="b">
        <f t="shared" si="52"/>
        <v>0</v>
      </c>
      <c r="AF244" t="b">
        <f t="shared" si="53"/>
        <v>0</v>
      </c>
      <c r="AG244" t="b">
        <f t="shared" si="54"/>
        <v>0</v>
      </c>
      <c r="AH244" t="b">
        <f t="shared" si="55"/>
        <v>0</v>
      </c>
    </row>
    <row r="245" spans="1:34" x14ac:dyDescent="0.2">
      <c r="A245" s="12" t="s">
        <v>331</v>
      </c>
      <c r="B245" s="12" t="s">
        <v>47</v>
      </c>
      <c r="C245" s="13" t="s">
        <v>47</v>
      </c>
      <c r="D245" s="18">
        <v>2</v>
      </c>
      <c r="E245" s="18">
        <v>2</v>
      </c>
      <c r="F245" s="18">
        <v>2</v>
      </c>
      <c r="G245" s="18">
        <v>2</v>
      </c>
      <c r="H245" s="18">
        <v>2</v>
      </c>
      <c r="I245" s="18">
        <v>2</v>
      </c>
      <c r="J245" s="19">
        <v>2</v>
      </c>
      <c r="K245" s="18">
        <v>2</v>
      </c>
      <c r="L245" s="18">
        <v>1</v>
      </c>
      <c r="M245" s="18">
        <v>2</v>
      </c>
      <c r="N245" s="18">
        <v>2</v>
      </c>
      <c r="O245" s="18">
        <v>2</v>
      </c>
      <c r="P245" s="18">
        <v>2</v>
      </c>
      <c r="Q245" s="17">
        <v>12</v>
      </c>
      <c r="R245">
        <v>1</v>
      </c>
      <c r="S245">
        <v>0</v>
      </c>
      <c r="T245">
        <v>0</v>
      </c>
      <c r="U245" s="14">
        <f t="shared" si="42"/>
        <v>13</v>
      </c>
      <c r="V245" t="b">
        <f t="shared" si="43"/>
        <v>1</v>
      </c>
      <c r="W245" t="b">
        <f t="shared" si="44"/>
        <v>1</v>
      </c>
      <c r="X245" t="b">
        <f t="shared" si="45"/>
        <v>1</v>
      </c>
      <c r="Y245" t="b">
        <f t="shared" si="46"/>
        <v>1</v>
      </c>
      <c r="Z245" t="b">
        <f t="shared" si="47"/>
        <v>1</v>
      </c>
      <c r="AA245" t="b">
        <f t="shared" si="48"/>
        <v>1</v>
      </c>
      <c r="AB245" t="b">
        <f t="shared" si="49"/>
        <v>1</v>
      </c>
      <c r="AC245" t="b">
        <f t="shared" si="50"/>
        <v>1</v>
      </c>
      <c r="AD245" t="b">
        <f t="shared" si="51"/>
        <v>1</v>
      </c>
      <c r="AE245" t="b">
        <f t="shared" si="52"/>
        <v>1</v>
      </c>
      <c r="AF245" t="b">
        <f t="shared" si="53"/>
        <v>1</v>
      </c>
      <c r="AG245" t="b">
        <f t="shared" si="54"/>
        <v>1</v>
      </c>
      <c r="AH245" t="b">
        <f t="shared" si="55"/>
        <v>0</v>
      </c>
    </row>
    <row r="246" spans="1:34" x14ac:dyDescent="0.2">
      <c r="A246" s="12" t="s">
        <v>332</v>
      </c>
      <c r="B246" s="12" t="s">
        <v>47</v>
      </c>
      <c r="C246" s="13" t="s">
        <v>47</v>
      </c>
      <c r="D246" s="18">
        <v>2</v>
      </c>
      <c r="E246" s="18">
        <v>2</v>
      </c>
      <c r="F246" s="18">
        <v>2</v>
      </c>
      <c r="G246" s="18">
        <v>2</v>
      </c>
      <c r="H246" s="18">
        <v>2</v>
      </c>
      <c r="I246" s="18">
        <v>2</v>
      </c>
      <c r="J246" s="19">
        <v>2</v>
      </c>
      <c r="K246" s="18">
        <v>2</v>
      </c>
      <c r="L246" s="18">
        <v>1</v>
      </c>
      <c r="M246" s="18">
        <v>2</v>
      </c>
      <c r="N246" s="18">
        <v>2</v>
      </c>
      <c r="O246" s="18">
        <v>2</v>
      </c>
      <c r="P246" s="18">
        <v>1</v>
      </c>
      <c r="Q246" s="17">
        <v>11</v>
      </c>
      <c r="R246">
        <v>2</v>
      </c>
      <c r="S246">
        <v>0</v>
      </c>
      <c r="T246">
        <v>0</v>
      </c>
      <c r="U246" s="14">
        <f t="shared" si="42"/>
        <v>13</v>
      </c>
      <c r="V246" t="b">
        <f t="shared" si="43"/>
        <v>1</v>
      </c>
      <c r="W246" t="b">
        <f t="shared" si="44"/>
        <v>1</v>
      </c>
      <c r="X246" t="b">
        <f t="shared" si="45"/>
        <v>1</v>
      </c>
      <c r="Y246" t="b">
        <f t="shared" si="46"/>
        <v>1</v>
      </c>
      <c r="Z246" t="b">
        <f t="shared" si="47"/>
        <v>1</v>
      </c>
      <c r="AA246" t="b">
        <f t="shared" si="48"/>
        <v>1</v>
      </c>
      <c r="AB246" t="b">
        <f t="shared" si="49"/>
        <v>1</v>
      </c>
      <c r="AC246" t="b">
        <f t="shared" si="50"/>
        <v>1</v>
      </c>
      <c r="AD246" t="b">
        <f t="shared" si="51"/>
        <v>1</v>
      </c>
      <c r="AE246" t="b">
        <f t="shared" si="52"/>
        <v>1</v>
      </c>
      <c r="AF246" t="b">
        <f t="shared" si="53"/>
        <v>1</v>
      </c>
      <c r="AG246" t="b">
        <f t="shared" si="54"/>
        <v>0</v>
      </c>
      <c r="AH246" t="b">
        <f t="shared" si="55"/>
        <v>0</v>
      </c>
    </row>
    <row r="247" spans="1:34" x14ac:dyDescent="0.2">
      <c r="A247" s="12" t="s">
        <v>333</v>
      </c>
      <c r="B247" s="12" t="s">
        <v>47</v>
      </c>
      <c r="C247" s="13" t="s">
        <v>47</v>
      </c>
      <c r="D247" s="18"/>
      <c r="E247" s="18">
        <v>0</v>
      </c>
      <c r="F247" s="18">
        <v>2</v>
      </c>
      <c r="G247" s="18">
        <v>0</v>
      </c>
      <c r="H247" s="18">
        <v>2</v>
      </c>
      <c r="I247" s="18"/>
      <c r="J247" s="19">
        <v>2</v>
      </c>
      <c r="K247" s="18">
        <v>2</v>
      </c>
      <c r="L247" s="18">
        <v>1</v>
      </c>
      <c r="M247" s="18">
        <v>2</v>
      </c>
      <c r="N247" s="18"/>
      <c r="O247" s="18">
        <v>2</v>
      </c>
      <c r="P247" s="18">
        <v>0</v>
      </c>
      <c r="Q247" s="17">
        <v>6</v>
      </c>
      <c r="R247">
        <v>1</v>
      </c>
      <c r="S247">
        <v>3</v>
      </c>
      <c r="T247">
        <v>3</v>
      </c>
      <c r="U247" s="14">
        <f t="shared" si="42"/>
        <v>13</v>
      </c>
      <c r="V247" t="b">
        <f t="shared" si="43"/>
        <v>1</v>
      </c>
      <c r="W247" t="b">
        <f t="shared" si="44"/>
        <v>1</v>
      </c>
      <c r="X247" t="b">
        <f t="shared" si="45"/>
        <v>1</v>
      </c>
      <c r="Y247" t="b">
        <f t="shared" si="46"/>
        <v>1</v>
      </c>
      <c r="Z247" t="b">
        <f t="shared" si="47"/>
        <v>1</v>
      </c>
      <c r="AA247" t="b">
        <f t="shared" si="48"/>
        <v>1</v>
      </c>
      <c r="AB247" t="b">
        <f t="shared" si="49"/>
        <v>0</v>
      </c>
      <c r="AC247" t="b">
        <f t="shared" si="50"/>
        <v>0</v>
      </c>
      <c r="AD247" t="b">
        <f t="shared" si="51"/>
        <v>0</v>
      </c>
      <c r="AE247" t="b">
        <f t="shared" si="52"/>
        <v>0</v>
      </c>
      <c r="AF247" t="b">
        <f t="shared" si="53"/>
        <v>0</v>
      </c>
      <c r="AG247" t="b">
        <f t="shared" si="54"/>
        <v>0</v>
      </c>
      <c r="AH247" t="b">
        <f t="shared" si="55"/>
        <v>0</v>
      </c>
    </row>
    <row r="248" spans="1:34" x14ac:dyDescent="0.2">
      <c r="A248" s="12" t="s">
        <v>334</v>
      </c>
      <c r="B248" s="12" t="s">
        <v>47</v>
      </c>
      <c r="C248" s="13" t="s">
        <v>47</v>
      </c>
      <c r="D248" s="18">
        <v>1</v>
      </c>
      <c r="E248" s="18">
        <v>1</v>
      </c>
      <c r="F248" s="18">
        <v>2</v>
      </c>
      <c r="G248" s="18">
        <v>2</v>
      </c>
      <c r="H248" s="18">
        <v>2</v>
      </c>
      <c r="I248" s="18">
        <v>0</v>
      </c>
      <c r="J248" s="19">
        <v>2</v>
      </c>
      <c r="K248" s="18">
        <v>2</v>
      </c>
      <c r="L248" s="18">
        <v>1</v>
      </c>
      <c r="M248" s="18">
        <v>2</v>
      </c>
      <c r="N248" s="18"/>
      <c r="O248" s="18">
        <v>2</v>
      </c>
      <c r="P248" s="18">
        <v>2</v>
      </c>
      <c r="Q248" s="17">
        <v>8</v>
      </c>
      <c r="R248">
        <v>3</v>
      </c>
      <c r="S248">
        <v>1</v>
      </c>
      <c r="T248">
        <v>1</v>
      </c>
      <c r="U248" s="14">
        <f t="shared" si="42"/>
        <v>13</v>
      </c>
      <c r="V248" t="b">
        <f t="shared" si="43"/>
        <v>1</v>
      </c>
      <c r="W248" t="b">
        <f t="shared" si="44"/>
        <v>1</v>
      </c>
      <c r="X248" t="b">
        <f t="shared" si="45"/>
        <v>1</v>
      </c>
      <c r="Y248" t="b">
        <f t="shared" si="46"/>
        <v>1</v>
      </c>
      <c r="Z248" t="b">
        <f t="shared" si="47"/>
        <v>1</v>
      </c>
      <c r="AA248" t="b">
        <f t="shared" si="48"/>
        <v>1</v>
      </c>
      <c r="AB248" t="b">
        <f t="shared" si="49"/>
        <v>1</v>
      </c>
      <c r="AC248" t="b">
        <f t="shared" si="50"/>
        <v>1</v>
      </c>
      <c r="AD248" t="b">
        <f t="shared" si="51"/>
        <v>0</v>
      </c>
      <c r="AE248" t="b">
        <f t="shared" si="52"/>
        <v>0</v>
      </c>
      <c r="AF248" t="b">
        <f t="shared" si="53"/>
        <v>0</v>
      </c>
      <c r="AG248" t="b">
        <f t="shared" si="54"/>
        <v>0</v>
      </c>
      <c r="AH248" t="b">
        <f t="shared" si="55"/>
        <v>0</v>
      </c>
    </row>
    <row r="249" spans="1:34" x14ac:dyDescent="0.2">
      <c r="A249" s="12" t="s">
        <v>335</v>
      </c>
      <c r="B249" s="12" t="s">
        <v>47</v>
      </c>
      <c r="C249" s="13" t="s">
        <v>47</v>
      </c>
      <c r="D249" s="18">
        <v>0</v>
      </c>
      <c r="E249" s="18">
        <v>2</v>
      </c>
      <c r="F249" s="18">
        <v>1</v>
      </c>
      <c r="G249" s="18">
        <v>0</v>
      </c>
      <c r="H249" s="18">
        <v>1</v>
      </c>
      <c r="I249" s="18">
        <v>1</v>
      </c>
      <c r="J249" s="19">
        <v>1</v>
      </c>
      <c r="K249" s="18">
        <v>0</v>
      </c>
      <c r="L249" s="18">
        <v>2</v>
      </c>
      <c r="M249" s="18">
        <v>1</v>
      </c>
      <c r="N249" s="18">
        <v>1</v>
      </c>
      <c r="O249" s="18">
        <v>1</v>
      </c>
      <c r="P249" s="18">
        <v>0</v>
      </c>
      <c r="Q249" s="17">
        <v>2</v>
      </c>
      <c r="R249">
        <v>7</v>
      </c>
      <c r="S249">
        <v>4</v>
      </c>
      <c r="T249">
        <v>0</v>
      </c>
      <c r="U249" s="14">
        <f t="shared" si="42"/>
        <v>13</v>
      </c>
      <c r="V249" t="b">
        <f t="shared" si="43"/>
        <v>1</v>
      </c>
      <c r="W249" t="b">
        <f t="shared" si="44"/>
        <v>1</v>
      </c>
      <c r="X249" t="b">
        <f t="shared" si="45"/>
        <v>0</v>
      </c>
      <c r="Y249" t="b">
        <f t="shared" si="46"/>
        <v>0</v>
      </c>
      <c r="Z249" t="b">
        <f t="shared" si="47"/>
        <v>0</v>
      </c>
      <c r="AA249" t="b">
        <f t="shared" si="48"/>
        <v>0</v>
      </c>
      <c r="AB249" t="b">
        <f t="shared" si="49"/>
        <v>0</v>
      </c>
      <c r="AC249" t="b">
        <f t="shared" si="50"/>
        <v>0</v>
      </c>
      <c r="AD249" t="b">
        <f t="shared" si="51"/>
        <v>0</v>
      </c>
      <c r="AE249" t="b">
        <f t="shared" si="52"/>
        <v>0</v>
      </c>
      <c r="AF249" t="b">
        <f t="shared" si="53"/>
        <v>0</v>
      </c>
      <c r="AG249" t="b">
        <f t="shared" si="54"/>
        <v>0</v>
      </c>
      <c r="AH249" t="b">
        <f t="shared" si="55"/>
        <v>0</v>
      </c>
    </row>
    <row r="250" spans="1:34" x14ac:dyDescent="0.2">
      <c r="A250" s="12" t="s">
        <v>336</v>
      </c>
      <c r="B250" s="12" t="s">
        <v>47</v>
      </c>
      <c r="C250" s="13" t="s">
        <v>47</v>
      </c>
      <c r="D250" s="18">
        <v>2</v>
      </c>
      <c r="E250" s="18">
        <v>2</v>
      </c>
      <c r="F250" s="18">
        <v>2</v>
      </c>
      <c r="G250" s="18">
        <v>2</v>
      </c>
      <c r="H250" s="18">
        <v>2</v>
      </c>
      <c r="I250" s="18">
        <v>0</v>
      </c>
      <c r="J250" s="19">
        <v>2</v>
      </c>
      <c r="K250" s="18">
        <v>2</v>
      </c>
      <c r="L250" s="18">
        <v>1</v>
      </c>
      <c r="M250" s="18">
        <v>2</v>
      </c>
      <c r="N250" s="18"/>
      <c r="O250" s="18">
        <v>2</v>
      </c>
      <c r="P250" s="18">
        <v>2</v>
      </c>
      <c r="Q250" s="17">
        <v>10</v>
      </c>
      <c r="R250">
        <v>1</v>
      </c>
      <c r="S250">
        <v>1</v>
      </c>
      <c r="T250">
        <v>1</v>
      </c>
      <c r="U250" s="14">
        <f t="shared" si="42"/>
        <v>13</v>
      </c>
      <c r="V250" t="b">
        <f t="shared" si="43"/>
        <v>1</v>
      </c>
      <c r="W250" t="b">
        <f t="shared" si="44"/>
        <v>1</v>
      </c>
      <c r="X250" t="b">
        <f t="shared" si="45"/>
        <v>1</v>
      </c>
      <c r="Y250" t="b">
        <f t="shared" si="46"/>
        <v>1</v>
      </c>
      <c r="Z250" t="b">
        <f t="shared" si="47"/>
        <v>1</v>
      </c>
      <c r="AA250" t="b">
        <f t="shared" si="48"/>
        <v>1</v>
      </c>
      <c r="AB250" t="b">
        <f t="shared" si="49"/>
        <v>1</v>
      </c>
      <c r="AC250" t="b">
        <f t="shared" si="50"/>
        <v>1</v>
      </c>
      <c r="AD250" t="b">
        <f t="shared" si="51"/>
        <v>1</v>
      </c>
      <c r="AE250" t="b">
        <f t="shared" si="52"/>
        <v>1</v>
      </c>
      <c r="AF250" t="b">
        <f t="shared" si="53"/>
        <v>0</v>
      </c>
      <c r="AG250" t="b">
        <f t="shared" si="54"/>
        <v>0</v>
      </c>
      <c r="AH250" t="b">
        <f t="shared" si="55"/>
        <v>0</v>
      </c>
    </row>
    <row r="251" spans="1:34" x14ac:dyDescent="0.2">
      <c r="A251" s="12" t="s">
        <v>141</v>
      </c>
      <c r="B251" s="12" t="s">
        <v>337</v>
      </c>
      <c r="C251" s="13" t="s">
        <v>337</v>
      </c>
      <c r="D251" s="18">
        <v>0</v>
      </c>
      <c r="E251" s="18">
        <v>1</v>
      </c>
      <c r="F251" s="18">
        <v>1</v>
      </c>
      <c r="G251" s="18">
        <v>2</v>
      </c>
      <c r="H251" s="18">
        <v>1</v>
      </c>
      <c r="I251" s="18">
        <v>0</v>
      </c>
      <c r="J251" s="19">
        <v>2</v>
      </c>
      <c r="K251" s="18">
        <v>1</v>
      </c>
      <c r="L251" s="18">
        <v>2</v>
      </c>
      <c r="M251" s="18">
        <v>2</v>
      </c>
      <c r="N251" s="18">
        <v>1</v>
      </c>
      <c r="O251" s="18">
        <v>2</v>
      </c>
      <c r="P251" s="18">
        <v>0</v>
      </c>
      <c r="Q251" s="17">
        <v>5</v>
      </c>
      <c r="R251">
        <v>5</v>
      </c>
      <c r="S251">
        <v>3</v>
      </c>
      <c r="T251">
        <v>0</v>
      </c>
      <c r="U251" s="14">
        <f t="shared" si="42"/>
        <v>13</v>
      </c>
      <c r="V251" t="b">
        <f t="shared" si="43"/>
        <v>1</v>
      </c>
      <c r="W251" t="b">
        <f t="shared" si="44"/>
        <v>1</v>
      </c>
      <c r="X251" t="b">
        <f t="shared" si="45"/>
        <v>1</v>
      </c>
      <c r="Y251" t="b">
        <f t="shared" si="46"/>
        <v>1</v>
      </c>
      <c r="Z251" t="b">
        <f t="shared" si="47"/>
        <v>1</v>
      </c>
      <c r="AA251" t="b">
        <f t="shared" si="48"/>
        <v>0</v>
      </c>
      <c r="AB251" t="b">
        <f t="shared" si="49"/>
        <v>0</v>
      </c>
      <c r="AC251" t="b">
        <f t="shared" si="50"/>
        <v>0</v>
      </c>
      <c r="AD251" t="b">
        <f t="shared" si="51"/>
        <v>0</v>
      </c>
      <c r="AE251" t="b">
        <f t="shared" si="52"/>
        <v>0</v>
      </c>
      <c r="AF251" t="b">
        <f t="shared" si="53"/>
        <v>0</v>
      </c>
      <c r="AG251" t="b">
        <f t="shared" si="54"/>
        <v>0</v>
      </c>
      <c r="AH251" t="b">
        <f t="shared" si="55"/>
        <v>0</v>
      </c>
    </row>
    <row r="252" spans="1:34" x14ac:dyDescent="0.2">
      <c r="A252" s="12" t="s">
        <v>158</v>
      </c>
      <c r="B252" s="12" t="s">
        <v>337</v>
      </c>
      <c r="C252" s="13" t="s">
        <v>337</v>
      </c>
      <c r="D252" s="18">
        <v>1</v>
      </c>
      <c r="E252" s="18">
        <v>2</v>
      </c>
      <c r="F252" s="18">
        <v>1</v>
      </c>
      <c r="G252" s="18">
        <v>2</v>
      </c>
      <c r="H252" s="18">
        <v>1</v>
      </c>
      <c r="I252" s="18">
        <v>2</v>
      </c>
      <c r="J252" s="19">
        <v>2</v>
      </c>
      <c r="K252" s="18">
        <v>1</v>
      </c>
      <c r="L252" s="18">
        <v>1</v>
      </c>
      <c r="M252" s="18">
        <v>2</v>
      </c>
      <c r="N252" s="18">
        <v>1</v>
      </c>
      <c r="O252" s="18">
        <v>2</v>
      </c>
      <c r="P252" s="18">
        <v>0</v>
      </c>
      <c r="Q252" s="17">
        <v>6</v>
      </c>
      <c r="R252">
        <v>6</v>
      </c>
      <c r="S252">
        <v>1</v>
      </c>
      <c r="T252">
        <v>0</v>
      </c>
      <c r="U252" s="14">
        <f t="shared" si="42"/>
        <v>13</v>
      </c>
      <c r="V252" t="b">
        <f t="shared" si="43"/>
        <v>1</v>
      </c>
      <c r="W252" t="b">
        <f t="shared" si="44"/>
        <v>1</v>
      </c>
      <c r="X252" t="b">
        <f t="shared" si="45"/>
        <v>1</v>
      </c>
      <c r="Y252" t="b">
        <f t="shared" si="46"/>
        <v>1</v>
      </c>
      <c r="Z252" t="b">
        <f t="shared" si="47"/>
        <v>1</v>
      </c>
      <c r="AA252" t="b">
        <f t="shared" si="48"/>
        <v>1</v>
      </c>
      <c r="AB252" t="b">
        <f t="shared" si="49"/>
        <v>0</v>
      </c>
      <c r="AC252" t="b">
        <f t="shared" si="50"/>
        <v>0</v>
      </c>
      <c r="AD252" t="b">
        <f t="shared" si="51"/>
        <v>0</v>
      </c>
      <c r="AE252" t="b">
        <f t="shared" si="52"/>
        <v>0</v>
      </c>
      <c r="AF252" t="b">
        <f t="shared" si="53"/>
        <v>0</v>
      </c>
      <c r="AG252" t="b">
        <f t="shared" si="54"/>
        <v>0</v>
      </c>
      <c r="AH252" t="b">
        <f t="shared" si="55"/>
        <v>0</v>
      </c>
    </row>
    <row r="253" spans="1:34" x14ac:dyDescent="0.2">
      <c r="A253" s="12" t="s">
        <v>338</v>
      </c>
      <c r="B253" s="12" t="s">
        <v>337</v>
      </c>
      <c r="C253" s="13" t="s">
        <v>337</v>
      </c>
      <c r="D253" s="18">
        <v>0</v>
      </c>
      <c r="E253" s="18">
        <v>0</v>
      </c>
      <c r="F253" s="18">
        <v>2</v>
      </c>
      <c r="G253" s="18">
        <v>2</v>
      </c>
      <c r="H253" s="18">
        <v>1</v>
      </c>
      <c r="I253" s="18">
        <v>2</v>
      </c>
      <c r="J253" s="19">
        <v>2</v>
      </c>
      <c r="K253" s="18">
        <v>1</v>
      </c>
      <c r="L253" s="18">
        <v>1</v>
      </c>
      <c r="M253" s="18">
        <v>0</v>
      </c>
      <c r="N253" s="18">
        <v>1</v>
      </c>
      <c r="O253" s="18">
        <v>2</v>
      </c>
      <c r="P253" s="18">
        <v>1</v>
      </c>
      <c r="Q253" s="17">
        <v>5</v>
      </c>
      <c r="R253">
        <v>5</v>
      </c>
      <c r="S253">
        <v>3</v>
      </c>
      <c r="T253">
        <v>0</v>
      </c>
      <c r="U253" s="14">
        <f t="shared" si="42"/>
        <v>13</v>
      </c>
      <c r="V253" t="b">
        <f t="shared" si="43"/>
        <v>1</v>
      </c>
      <c r="W253" t="b">
        <f t="shared" si="44"/>
        <v>1</v>
      </c>
      <c r="X253" t="b">
        <f t="shared" si="45"/>
        <v>1</v>
      </c>
      <c r="Y253" t="b">
        <f t="shared" si="46"/>
        <v>1</v>
      </c>
      <c r="Z253" t="b">
        <f t="shared" si="47"/>
        <v>1</v>
      </c>
      <c r="AA253" t="b">
        <f t="shared" si="48"/>
        <v>0</v>
      </c>
      <c r="AB253" t="b">
        <f t="shared" si="49"/>
        <v>0</v>
      </c>
      <c r="AC253" t="b">
        <f t="shared" si="50"/>
        <v>0</v>
      </c>
      <c r="AD253" t="b">
        <f t="shared" si="51"/>
        <v>0</v>
      </c>
      <c r="AE253" t="b">
        <f t="shared" si="52"/>
        <v>0</v>
      </c>
      <c r="AF253" t="b">
        <f t="shared" si="53"/>
        <v>0</v>
      </c>
      <c r="AG253" t="b">
        <f t="shared" si="54"/>
        <v>0</v>
      </c>
      <c r="AH253" t="b">
        <f t="shared" si="55"/>
        <v>0</v>
      </c>
    </row>
    <row r="254" spans="1:34" x14ac:dyDescent="0.2">
      <c r="A254" s="12" t="s">
        <v>140</v>
      </c>
      <c r="B254" s="12" t="s">
        <v>337</v>
      </c>
      <c r="C254" s="13" t="s">
        <v>337</v>
      </c>
      <c r="D254" s="18">
        <v>1</v>
      </c>
      <c r="E254" s="18">
        <v>0</v>
      </c>
      <c r="F254" s="18">
        <v>2</v>
      </c>
      <c r="G254" s="18">
        <v>2</v>
      </c>
      <c r="H254" s="18">
        <v>1</v>
      </c>
      <c r="I254" s="18">
        <v>2</v>
      </c>
      <c r="J254" s="19">
        <v>2</v>
      </c>
      <c r="K254" s="18">
        <v>1</v>
      </c>
      <c r="L254" s="18">
        <v>1</v>
      </c>
      <c r="M254" s="18">
        <v>1</v>
      </c>
      <c r="N254" s="18">
        <v>1</v>
      </c>
      <c r="O254" s="18">
        <v>2</v>
      </c>
      <c r="P254" s="18">
        <v>1</v>
      </c>
      <c r="Q254" s="17">
        <v>5</v>
      </c>
      <c r="R254">
        <v>7</v>
      </c>
      <c r="S254">
        <v>1</v>
      </c>
      <c r="T254">
        <v>0</v>
      </c>
      <c r="U254" s="14">
        <f t="shared" si="42"/>
        <v>13</v>
      </c>
      <c r="V254" t="b">
        <f t="shared" si="43"/>
        <v>1</v>
      </c>
      <c r="W254" t="b">
        <f t="shared" si="44"/>
        <v>1</v>
      </c>
      <c r="X254" t="b">
        <f t="shared" si="45"/>
        <v>1</v>
      </c>
      <c r="Y254" t="b">
        <f t="shared" si="46"/>
        <v>1</v>
      </c>
      <c r="Z254" t="b">
        <f t="shared" si="47"/>
        <v>1</v>
      </c>
      <c r="AA254" t="b">
        <f t="shared" si="48"/>
        <v>0</v>
      </c>
      <c r="AB254" t="b">
        <f t="shared" si="49"/>
        <v>0</v>
      </c>
      <c r="AC254" t="b">
        <f t="shared" si="50"/>
        <v>0</v>
      </c>
      <c r="AD254" t="b">
        <f t="shared" si="51"/>
        <v>0</v>
      </c>
      <c r="AE254" t="b">
        <f t="shared" si="52"/>
        <v>0</v>
      </c>
      <c r="AF254" t="b">
        <f t="shared" si="53"/>
        <v>0</v>
      </c>
      <c r="AG254" t="b">
        <f t="shared" si="54"/>
        <v>0</v>
      </c>
      <c r="AH254" t="b">
        <f t="shared" si="55"/>
        <v>0</v>
      </c>
    </row>
    <row r="255" spans="1:34" x14ac:dyDescent="0.2">
      <c r="A255" s="12" t="s">
        <v>124</v>
      </c>
      <c r="B255" s="12" t="s">
        <v>337</v>
      </c>
      <c r="C255" s="13" t="s">
        <v>337</v>
      </c>
      <c r="D255" s="18">
        <v>1</v>
      </c>
      <c r="E255" s="18">
        <v>0</v>
      </c>
      <c r="F255" s="18">
        <v>2</v>
      </c>
      <c r="G255" s="18">
        <v>2</v>
      </c>
      <c r="H255" s="18">
        <v>2</v>
      </c>
      <c r="I255" s="18">
        <v>2</v>
      </c>
      <c r="J255" s="19">
        <v>2</v>
      </c>
      <c r="K255" s="18">
        <v>1</v>
      </c>
      <c r="L255" s="18">
        <v>1</v>
      </c>
      <c r="M255" s="18">
        <v>1</v>
      </c>
      <c r="N255" s="18">
        <v>1</v>
      </c>
      <c r="O255" s="18">
        <v>2</v>
      </c>
      <c r="P255" s="18">
        <v>1</v>
      </c>
      <c r="Q255" s="17">
        <v>6</v>
      </c>
      <c r="R255">
        <v>6</v>
      </c>
      <c r="S255">
        <v>1</v>
      </c>
      <c r="T255">
        <v>0</v>
      </c>
      <c r="U255" s="14">
        <f t="shared" si="42"/>
        <v>13</v>
      </c>
      <c r="V255" t="b">
        <f t="shared" si="43"/>
        <v>1</v>
      </c>
      <c r="W255" t="b">
        <f t="shared" si="44"/>
        <v>1</v>
      </c>
      <c r="X255" t="b">
        <f t="shared" si="45"/>
        <v>1</v>
      </c>
      <c r="Y255" t="b">
        <f t="shared" si="46"/>
        <v>1</v>
      </c>
      <c r="Z255" t="b">
        <f t="shared" si="47"/>
        <v>1</v>
      </c>
      <c r="AA255" t="b">
        <f t="shared" si="48"/>
        <v>1</v>
      </c>
      <c r="AB255" t="b">
        <f t="shared" si="49"/>
        <v>0</v>
      </c>
      <c r="AC255" t="b">
        <f t="shared" si="50"/>
        <v>0</v>
      </c>
      <c r="AD255" t="b">
        <f t="shared" si="51"/>
        <v>0</v>
      </c>
      <c r="AE255" t="b">
        <f t="shared" si="52"/>
        <v>0</v>
      </c>
      <c r="AF255" t="b">
        <f t="shared" si="53"/>
        <v>0</v>
      </c>
      <c r="AG255" t="b">
        <f t="shared" si="54"/>
        <v>0</v>
      </c>
      <c r="AH255" t="b">
        <f t="shared" si="55"/>
        <v>0</v>
      </c>
    </row>
    <row r="256" spans="1:34" x14ac:dyDescent="0.2">
      <c r="A256" s="12" t="s">
        <v>339</v>
      </c>
      <c r="B256" s="12" t="s">
        <v>337</v>
      </c>
      <c r="C256" s="13" t="s">
        <v>337</v>
      </c>
      <c r="D256" s="18">
        <v>1</v>
      </c>
      <c r="E256" s="18">
        <v>0</v>
      </c>
      <c r="F256" s="18">
        <v>1</v>
      </c>
      <c r="G256" s="18">
        <v>2</v>
      </c>
      <c r="H256" s="18">
        <v>1</v>
      </c>
      <c r="I256" s="18">
        <v>2</v>
      </c>
      <c r="J256" s="19">
        <v>2</v>
      </c>
      <c r="K256" s="18">
        <v>2</v>
      </c>
      <c r="L256" s="18">
        <v>1</v>
      </c>
      <c r="M256" s="18">
        <v>1</v>
      </c>
      <c r="N256" s="18">
        <v>1</v>
      </c>
      <c r="O256" s="18">
        <v>2</v>
      </c>
      <c r="P256" s="18">
        <v>1</v>
      </c>
      <c r="Q256" s="17">
        <v>5</v>
      </c>
      <c r="R256">
        <v>7</v>
      </c>
      <c r="S256">
        <v>1</v>
      </c>
      <c r="T256">
        <v>0</v>
      </c>
      <c r="U256" s="14">
        <f t="shared" si="42"/>
        <v>13</v>
      </c>
      <c r="V256" t="b">
        <f t="shared" si="43"/>
        <v>1</v>
      </c>
      <c r="W256" t="b">
        <f t="shared" si="44"/>
        <v>1</v>
      </c>
      <c r="X256" t="b">
        <f t="shared" si="45"/>
        <v>1</v>
      </c>
      <c r="Y256" t="b">
        <f t="shared" si="46"/>
        <v>1</v>
      </c>
      <c r="Z256" t="b">
        <f t="shared" si="47"/>
        <v>1</v>
      </c>
      <c r="AA256" t="b">
        <f t="shared" si="48"/>
        <v>0</v>
      </c>
      <c r="AB256" t="b">
        <f t="shared" si="49"/>
        <v>0</v>
      </c>
      <c r="AC256" t="b">
        <f t="shared" si="50"/>
        <v>0</v>
      </c>
      <c r="AD256" t="b">
        <f t="shared" si="51"/>
        <v>0</v>
      </c>
      <c r="AE256" t="b">
        <f t="shared" si="52"/>
        <v>0</v>
      </c>
      <c r="AF256" t="b">
        <f t="shared" si="53"/>
        <v>0</v>
      </c>
      <c r="AG256" t="b">
        <f t="shared" si="54"/>
        <v>0</v>
      </c>
      <c r="AH256" t="b">
        <f t="shared" si="55"/>
        <v>0</v>
      </c>
    </row>
    <row r="257" spans="1:34" x14ac:dyDescent="0.2">
      <c r="A257" s="12" t="s">
        <v>340</v>
      </c>
      <c r="B257" s="12" t="s">
        <v>337</v>
      </c>
      <c r="C257" s="13" t="s">
        <v>337</v>
      </c>
      <c r="D257" s="18">
        <v>0</v>
      </c>
      <c r="E257" s="18">
        <v>1</v>
      </c>
      <c r="F257" s="18">
        <v>1</v>
      </c>
      <c r="G257" s="18">
        <v>0</v>
      </c>
      <c r="H257" s="18">
        <v>0</v>
      </c>
      <c r="I257" s="18">
        <v>2</v>
      </c>
      <c r="J257" s="19">
        <v>2</v>
      </c>
      <c r="K257" s="18">
        <v>2</v>
      </c>
      <c r="L257" s="18">
        <v>2</v>
      </c>
      <c r="M257" s="18">
        <v>0</v>
      </c>
      <c r="N257" s="18">
        <v>1</v>
      </c>
      <c r="O257" s="18">
        <v>2</v>
      </c>
      <c r="P257" s="18">
        <v>0</v>
      </c>
      <c r="Q257" s="17">
        <v>5</v>
      </c>
      <c r="R257">
        <v>3</v>
      </c>
      <c r="S257">
        <v>5</v>
      </c>
      <c r="T257">
        <v>0</v>
      </c>
      <c r="U257" s="14">
        <f t="shared" si="42"/>
        <v>13</v>
      </c>
      <c r="V257" t="b">
        <f t="shared" si="43"/>
        <v>1</v>
      </c>
      <c r="W257" t="b">
        <f t="shared" si="44"/>
        <v>1</v>
      </c>
      <c r="X257" t="b">
        <f t="shared" si="45"/>
        <v>1</v>
      </c>
      <c r="Y257" t="b">
        <f t="shared" si="46"/>
        <v>1</v>
      </c>
      <c r="Z257" t="b">
        <f t="shared" si="47"/>
        <v>1</v>
      </c>
      <c r="AA257" t="b">
        <f t="shared" si="48"/>
        <v>0</v>
      </c>
      <c r="AB257" t="b">
        <f t="shared" si="49"/>
        <v>0</v>
      </c>
      <c r="AC257" t="b">
        <f t="shared" si="50"/>
        <v>0</v>
      </c>
      <c r="AD257" t="b">
        <f t="shared" si="51"/>
        <v>0</v>
      </c>
      <c r="AE257" t="b">
        <f t="shared" si="52"/>
        <v>0</v>
      </c>
      <c r="AF257" t="b">
        <f t="shared" si="53"/>
        <v>0</v>
      </c>
      <c r="AG257" t="b">
        <f t="shared" si="54"/>
        <v>0</v>
      </c>
      <c r="AH257" t="b">
        <f t="shared" si="55"/>
        <v>0</v>
      </c>
    </row>
    <row r="258" spans="1:34" x14ac:dyDescent="0.2">
      <c r="A258" s="12" t="s">
        <v>341</v>
      </c>
      <c r="B258" s="12" t="s">
        <v>337</v>
      </c>
      <c r="C258" s="13" t="s">
        <v>337</v>
      </c>
      <c r="D258" s="18">
        <v>0</v>
      </c>
      <c r="E258" s="18">
        <v>2</v>
      </c>
      <c r="F258" s="18">
        <v>1</v>
      </c>
      <c r="G258" s="18">
        <v>0</v>
      </c>
      <c r="H258" s="18">
        <v>0</v>
      </c>
      <c r="I258" s="18">
        <v>0</v>
      </c>
      <c r="J258" s="19">
        <v>0</v>
      </c>
      <c r="K258" s="18">
        <v>0</v>
      </c>
      <c r="L258" s="18">
        <v>0</v>
      </c>
      <c r="M258" s="18">
        <v>0</v>
      </c>
      <c r="N258" s="18">
        <v>1</v>
      </c>
      <c r="O258" s="18">
        <v>0</v>
      </c>
      <c r="P258" s="18">
        <v>0</v>
      </c>
      <c r="Q258" s="17">
        <v>1</v>
      </c>
      <c r="R258">
        <v>2</v>
      </c>
      <c r="S258">
        <v>10</v>
      </c>
      <c r="T258">
        <v>0</v>
      </c>
      <c r="U258" s="14">
        <f t="shared" si="42"/>
        <v>13</v>
      </c>
      <c r="V258" t="b">
        <f t="shared" si="43"/>
        <v>1</v>
      </c>
      <c r="W258" t="b">
        <f t="shared" si="44"/>
        <v>0</v>
      </c>
      <c r="X258" t="b">
        <f t="shared" si="45"/>
        <v>0</v>
      </c>
      <c r="Y258" t="b">
        <f t="shared" si="46"/>
        <v>0</v>
      </c>
      <c r="Z258" t="b">
        <f t="shared" si="47"/>
        <v>0</v>
      </c>
      <c r="AA258" t="b">
        <f t="shared" si="48"/>
        <v>0</v>
      </c>
      <c r="AB258" t="b">
        <f t="shared" si="49"/>
        <v>0</v>
      </c>
      <c r="AC258" t="b">
        <f t="shared" si="50"/>
        <v>0</v>
      </c>
      <c r="AD258" t="b">
        <f t="shared" si="51"/>
        <v>0</v>
      </c>
      <c r="AE258" t="b">
        <f t="shared" si="52"/>
        <v>0</v>
      </c>
      <c r="AF258" t="b">
        <f t="shared" si="53"/>
        <v>0</v>
      </c>
      <c r="AG258" t="b">
        <f t="shared" si="54"/>
        <v>0</v>
      </c>
      <c r="AH258" t="b">
        <f t="shared" si="55"/>
        <v>0</v>
      </c>
    </row>
    <row r="259" spans="1:34" x14ac:dyDescent="0.2">
      <c r="A259" s="12" t="s">
        <v>342</v>
      </c>
      <c r="B259" s="12" t="s">
        <v>55</v>
      </c>
      <c r="C259" s="13" t="s">
        <v>55</v>
      </c>
      <c r="D259" s="18">
        <v>1</v>
      </c>
      <c r="E259" s="18">
        <v>2</v>
      </c>
      <c r="F259" s="18">
        <v>2</v>
      </c>
      <c r="G259" s="18">
        <v>2</v>
      </c>
      <c r="H259" s="18">
        <v>1</v>
      </c>
      <c r="I259" s="18">
        <v>1</v>
      </c>
      <c r="J259" s="19">
        <v>2</v>
      </c>
      <c r="K259" s="18">
        <v>2</v>
      </c>
      <c r="L259" s="18">
        <v>1</v>
      </c>
      <c r="M259" s="18">
        <v>1</v>
      </c>
      <c r="N259" s="18">
        <v>1</v>
      </c>
      <c r="O259" s="18">
        <v>2</v>
      </c>
      <c r="P259" s="18">
        <v>1</v>
      </c>
      <c r="Q259" s="17">
        <v>6</v>
      </c>
      <c r="R259">
        <v>7</v>
      </c>
      <c r="S259">
        <v>0</v>
      </c>
      <c r="T259">
        <v>0</v>
      </c>
      <c r="U259" s="14">
        <f t="shared" si="42"/>
        <v>13</v>
      </c>
      <c r="V259" t="b">
        <f t="shared" si="43"/>
        <v>1</v>
      </c>
      <c r="W259" t="b">
        <f t="shared" si="44"/>
        <v>1</v>
      </c>
      <c r="X259" t="b">
        <f t="shared" si="45"/>
        <v>1</v>
      </c>
      <c r="Y259" t="b">
        <f t="shared" si="46"/>
        <v>1</v>
      </c>
      <c r="Z259" t="b">
        <f t="shared" si="47"/>
        <v>1</v>
      </c>
      <c r="AA259" t="b">
        <f t="shared" si="48"/>
        <v>1</v>
      </c>
      <c r="AB259" t="b">
        <f t="shared" si="49"/>
        <v>0</v>
      </c>
      <c r="AC259" t="b">
        <f t="shared" si="50"/>
        <v>0</v>
      </c>
      <c r="AD259" t="b">
        <f t="shared" si="51"/>
        <v>0</v>
      </c>
      <c r="AE259" t="b">
        <f t="shared" si="52"/>
        <v>0</v>
      </c>
      <c r="AF259" t="b">
        <f t="shared" si="53"/>
        <v>0</v>
      </c>
      <c r="AG259" t="b">
        <f t="shared" si="54"/>
        <v>0</v>
      </c>
      <c r="AH259" t="b">
        <f t="shared" si="55"/>
        <v>0</v>
      </c>
    </row>
    <row r="260" spans="1:34" x14ac:dyDescent="0.2">
      <c r="A260" s="12" t="s">
        <v>343</v>
      </c>
      <c r="B260" s="12" t="s">
        <v>55</v>
      </c>
      <c r="C260" s="13" t="s">
        <v>55</v>
      </c>
      <c r="D260" s="18">
        <v>0</v>
      </c>
      <c r="E260" s="18">
        <v>0</v>
      </c>
      <c r="F260" s="18">
        <v>2</v>
      </c>
      <c r="G260" s="18">
        <v>2</v>
      </c>
      <c r="H260" s="18">
        <v>1</v>
      </c>
      <c r="I260" s="18">
        <v>0</v>
      </c>
      <c r="J260" s="19">
        <v>1</v>
      </c>
      <c r="K260" s="18">
        <v>0</v>
      </c>
      <c r="L260" s="18">
        <v>1</v>
      </c>
      <c r="M260" s="18">
        <v>2</v>
      </c>
      <c r="N260" s="18">
        <v>0</v>
      </c>
      <c r="O260" s="18">
        <v>2</v>
      </c>
      <c r="P260" s="18">
        <v>1</v>
      </c>
      <c r="Q260" s="17">
        <v>4</v>
      </c>
      <c r="R260">
        <v>4</v>
      </c>
      <c r="S260">
        <v>5</v>
      </c>
      <c r="T260">
        <v>0</v>
      </c>
      <c r="U260" s="14">
        <f t="shared" ref="U260:U300" si="56">SUM(Q260:T260)</f>
        <v>13</v>
      </c>
      <c r="V260" t="b">
        <f t="shared" ref="V260:V300" si="57">Q260&gt;=1</f>
        <v>1</v>
      </c>
      <c r="W260" t="b">
        <f t="shared" ref="W260:W300" si="58">Q260&gt;=2</f>
        <v>1</v>
      </c>
      <c r="X260" t="b">
        <f t="shared" ref="X260:X300" si="59">Q260&gt;=3</f>
        <v>1</v>
      </c>
      <c r="Y260" t="b">
        <f t="shared" ref="Y260:Y300" si="60">Q260&gt;=4</f>
        <v>1</v>
      </c>
      <c r="Z260" t="b">
        <f t="shared" ref="Z260:Z300" si="61">Q260&gt;=5</f>
        <v>0</v>
      </c>
      <c r="AA260" t="b">
        <f t="shared" ref="AA260:AA300" si="62">Q260&gt;=6</f>
        <v>0</v>
      </c>
      <c r="AB260" t="b">
        <f t="shared" ref="AB260:AB300" si="63">Q260&gt;=7</f>
        <v>0</v>
      </c>
      <c r="AC260" t="b">
        <f t="shared" ref="AC260:AC300" si="64">Q260&gt;=8</f>
        <v>0</v>
      </c>
      <c r="AD260" t="b">
        <f t="shared" ref="AD260:AD300" si="65">Q260&gt;=9</f>
        <v>0</v>
      </c>
      <c r="AE260" t="b">
        <f t="shared" ref="AE260:AE300" si="66">Q260&gt;=10</f>
        <v>0</v>
      </c>
      <c r="AF260" t="b">
        <f t="shared" ref="AF260:AF300" si="67">Q260&gt;=11</f>
        <v>0</v>
      </c>
      <c r="AG260" t="b">
        <f t="shared" ref="AG260:AG300" si="68">Q260&gt;=12</f>
        <v>0</v>
      </c>
      <c r="AH260" t="b">
        <f t="shared" ref="AH260:AH300" si="69">Q260&gt;=13</f>
        <v>0</v>
      </c>
    </row>
    <row r="261" spans="1:34" x14ac:dyDescent="0.2">
      <c r="A261" s="12" t="s">
        <v>130</v>
      </c>
      <c r="B261" s="12" t="s">
        <v>55</v>
      </c>
      <c r="C261" s="13" t="s">
        <v>55</v>
      </c>
      <c r="D261" s="18">
        <v>0</v>
      </c>
      <c r="E261" s="18">
        <v>2</v>
      </c>
      <c r="F261" s="18">
        <v>2</v>
      </c>
      <c r="G261" s="18">
        <v>0</v>
      </c>
      <c r="H261" s="18">
        <v>0</v>
      </c>
      <c r="I261" s="18">
        <v>0</v>
      </c>
      <c r="J261" s="19">
        <v>1</v>
      </c>
      <c r="K261" s="18">
        <v>0</v>
      </c>
      <c r="L261" s="18">
        <v>2</v>
      </c>
      <c r="M261" s="18">
        <v>1</v>
      </c>
      <c r="N261" s="18">
        <v>0</v>
      </c>
      <c r="O261" s="18">
        <v>2</v>
      </c>
      <c r="P261" s="18">
        <v>0</v>
      </c>
      <c r="Q261" s="17">
        <v>4</v>
      </c>
      <c r="R261">
        <v>2</v>
      </c>
      <c r="S261">
        <v>7</v>
      </c>
      <c r="T261">
        <v>0</v>
      </c>
      <c r="U261" s="14">
        <f t="shared" si="56"/>
        <v>13</v>
      </c>
      <c r="V261" t="b">
        <f t="shared" si="57"/>
        <v>1</v>
      </c>
      <c r="W261" t="b">
        <f t="shared" si="58"/>
        <v>1</v>
      </c>
      <c r="X261" t="b">
        <f t="shared" si="59"/>
        <v>1</v>
      </c>
      <c r="Y261" t="b">
        <f t="shared" si="60"/>
        <v>1</v>
      </c>
      <c r="Z261" t="b">
        <f t="shared" si="61"/>
        <v>0</v>
      </c>
      <c r="AA261" t="b">
        <f t="shared" si="62"/>
        <v>0</v>
      </c>
      <c r="AB261" t="b">
        <f t="shared" si="63"/>
        <v>0</v>
      </c>
      <c r="AC261" t="b">
        <f t="shared" si="64"/>
        <v>0</v>
      </c>
      <c r="AD261" t="b">
        <f t="shared" si="65"/>
        <v>0</v>
      </c>
      <c r="AE261" t="b">
        <f t="shared" si="66"/>
        <v>0</v>
      </c>
      <c r="AF261" t="b">
        <f t="shared" si="67"/>
        <v>0</v>
      </c>
      <c r="AG261" t="b">
        <f t="shared" si="68"/>
        <v>0</v>
      </c>
      <c r="AH261" t="b">
        <f t="shared" si="69"/>
        <v>0</v>
      </c>
    </row>
    <row r="262" spans="1:34" x14ac:dyDescent="0.2">
      <c r="A262" s="12" t="s">
        <v>124</v>
      </c>
      <c r="B262" s="12" t="s">
        <v>55</v>
      </c>
      <c r="C262" s="13" t="s">
        <v>55</v>
      </c>
      <c r="D262" s="18">
        <v>0</v>
      </c>
      <c r="E262" s="18">
        <v>2</v>
      </c>
      <c r="F262" s="18">
        <v>2</v>
      </c>
      <c r="G262" s="18">
        <v>0</v>
      </c>
      <c r="H262" s="18">
        <v>1</v>
      </c>
      <c r="I262" s="18">
        <v>1</v>
      </c>
      <c r="J262" s="19">
        <v>0</v>
      </c>
      <c r="K262" s="18">
        <v>0</v>
      </c>
      <c r="L262" s="18">
        <v>2</v>
      </c>
      <c r="M262" s="18">
        <v>1</v>
      </c>
      <c r="N262" s="18">
        <v>0</v>
      </c>
      <c r="O262" s="18">
        <v>2</v>
      </c>
      <c r="P262" s="18">
        <v>0</v>
      </c>
      <c r="Q262" s="17">
        <v>4</v>
      </c>
      <c r="R262">
        <v>3</v>
      </c>
      <c r="S262">
        <v>6</v>
      </c>
      <c r="T262">
        <v>0</v>
      </c>
      <c r="U262" s="14">
        <f t="shared" si="56"/>
        <v>13</v>
      </c>
      <c r="V262" t="b">
        <f t="shared" si="57"/>
        <v>1</v>
      </c>
      <c r="W262" t="b">
        <f t="shared" si="58"/>
        <v>1</v>
      </c>
      <c r="X262" t="b">
        <f t="shared" si="59"/>
        <v>1</v>
      </c>
      <c r="Y262" t="b">
        <f t="shared" si="60"/>
        <v>1</v>
      </c>
      <c r="Z262" t="b">
        <f t="shared" si="61"/>
        <v>0</v>
      </c>
      <c r="AA262" t="b">
        <f t="shared" si="62"/>
        <v>0</v>
      </c>
      <c r="AB262" t="b">
        <f t="shared" si="63"/>
        <v>0</v>
      </c>
      <c r="AC262" t="b">
        <f t="shared" si="64"/>
        <v>0</v>
      </c>
      <c r="AD262" t="b">
        <f t="shared" si="65"/>
        <v>0</v>
      </c>
      <c r="AE262" t="b">
        <f t="shared" si="66"/>
        <v>0</v>
      </c>
      <c r="AF262" t="b">
        <f t="shared" si="67"/>
        <v>0</v>
      </c>
      <c r="AG262" t="b">
        <f t="shared" si="68"/>
        <v>0</v>
      </c>
      <c r="AH262" t="b">
        <f t="shared" si="69"/>
        <v>0</v>
      </c>
    </row>
    <row r="263" spans="1:34" x14ac:dyDescent="0.2">
      <c r="A263" s="12" t="s">
        <v>344</v>
      </c>
      <c r="B263" s="12" t="s">
        <v>55</v>
      </c>
      <c r="C263" s="13" t="s">
        <v>55</v>
      </c>
      <c r="D263" s="18">
        <v>0</v>
      </c>
      <c r="E263" s="18">
        <v>0</v>
      </c>
      <c r="F263" s="18">
        <v>2</v>
      </c>
      <c r="G263" s="18">
        <v>0</v>
      </c>
      <c r="H263" s="18">
        <v>0</v>
      </c>
      <c r="I263" s="18">
        <v>1</v>
      </c>
      <c r="J263" s="19">
        <v>0</v>
      </c>
      <c r="K263" s="18">
        <v>0</v>
      </c>
      <c r="L263" s="18">
        <v>2</v>
      </c>
      <c r="M263" s="18">
        <v>2</v>
      </c>
      <c r="N263" s="18">
        <v>0</v>
      </c>
      <c r="O263" s="18">
        <v>2</v>
      </c>
      <c r="P263" s="18">
        <v>0</v>
      </c>
      <c r="Q263" s="17">
        <v>4</v>
      </c>
      <c r="R263">
        <v>1</v>
      </c>
      <c r="S263">
        <v>8</v>
      </c>
      <c r="T263">
        <v>0</v>
      </c>
      <c r="U263" s="14">
        <f t="shared" si="56"/>
        <v>13</v>
      </c>
      <c r="V263" t="b">
        <f t="shared" si="57"/>
        <v>1</v>
      </c>
      <c r="W263" t="b">
        <f t="shared" si="58"/>
        <v>1</v>
      </c>
      <c r="X263" t="b">
        <f t="shared" si="59"/>
        <v>1</v>
      </c>
      <c r="Y263" t="b">
        <f t="shared" si="60"/>
        <v>1</v>
      </c>
      <c r="Z263" t="b">
        <f t="shared" si="61"/>
        <v>0</v>
      </c>
      <c r="AA263" t="b">
        <f t="shared" si="62"/>
        <v>0</v>
      </c>
      <c r="AB263" t="b">
        <f t="shared" si="63"/>
        <v>0</v>
      </c>
      <c r="AC263" t="b">
        <f t="shared" si="64"/>
        <v>0</v>
      </c>
      <c r="AD263" t="b">
        <f t="shared" si="65"/>
        <v>0</v>
      </c>
      <c r="AE263" t="b">
        <f t="shared" si="66"/>
        <v>0</v>
      </c>
      <c r="AF263" t="b">
        <f t="shared" si="67"/>
        <v>0</v>
      </c>
      <c r="AG263" t="b">
        <f t="shared" si="68"/>
        <v>0</v>
      </c>
      <c r="AH263" t="b">
        <f t="shared" si="69"/>
        <v>0</v>
      </c>
    </row>
    <row r="264" spans="1:34" x14ac:dyDescent="0.2">
      <c r="A264" s="12" t="s">
        <v>143</v>
      </c>
      <c r="B264" s="12" t="s">
        <v>55</v>
      </c>
      <c r="C264" s="13" t="s">
        <v>55</v>
      </c>
      <c r="D264" s="18">
        <v>0</v>
      </c>
      <c r="E264" s="18">
        <v>2</v>
      </c>
      <c r="F264" s="18">
        <v>2</v>
      </c>
      <c r="G264" s="18">
        <v>0</v>
      </c>
      <c r="H264" s="18">
        <v>1</v>
      </c>
      <c r="I264" s="18">
        <v>1</v>
      </c>
      <c r="J264" s="19">
        <v>1</v>
      </c>
      <c r="K264" s="18">
        <v>0</v>
      </c>
      <c r="L264" s="18">
        <v>2</v>
      </c>
      <c r="M264" s="18">
        <v>2</v>
      </c>
      <c r="N264" s="18"/>
      <c r="O264" s="18">
        <v>2</v>
      </c>
      <c r="P264" s="18">
        <v>0</v>
      </c>
      <c r="Q264" s="17">
        <v>5</v>
      </c>
      <c r="R264">
        <v>3</v>
      </c>
      <c r="S264">
        <v>4</v>
      </c>
      <c r="T264">
        <v>1</v>
      </c>
      <c r="U264" s="14">
        <f t="shared" si="56"/>
        <v>13</v>
      </c>
      <c r="V264" t="b">
        <f t="shared" si="57"/>
        <v>1</v>
      </c>
      <c r="W264" t="b">
        <f t="shared" si="58"/>
        <v>1</v>
      </c>
      <c r="X264" t="b">
        <f t="shared" si="59"/>
        <v>1</v>
      </c>
      <c r="Y264" t="b">
        <f t="shared" si="60"/>
        <v>1</v>
      </c>
      <c r="Z264" t="b">
        <f t="shared" si="61"/>
        <v>1</v>
      </c>
      <c r="AA264" t="b">
        <f t="shared" si="62"/>
        <v>0</v>
      </c>
      <c r="AB264" t="b">
        <f t="shared" si="63"/>
        <v>0</v>
      </c>
      <c r="AC264" t="b">
        <f t="shared" si="64"/>
        <v>0</v>
      </c>
      <c r="AD264" t="b">
        <f t="shared" si="65"/>
        <v>0</v>
      </c>
      <c r="AE264" t="b">
        <f t="shared" si="66"/>
        <v>0</v>
      </c>
      <c r="AF264" t="b">
        <f t="shared" si="67"/>
        <v>0</v>
      </c>
      <c r="AG264" t="b">
        <f t="shared" si="68"/>
        <v>0</v>
      </c>
      <c r="AH264" t="b">
        <f t="shared" si="69"/>
        <v>0</v>
      </c>
    </row>
    <row r="265" spans="1:34" x14ac:dyDescent="0.2">
      <c r="A265" s="12" t="s">
        <v>345</v>
      </c>
      <c r="B265" s="12" t="s">
        <v>61</v>
      </c>
      <c r="C265" s="13" t="s">
        <v>44</v>
      </c>
      <c r="D265" s="18">
        <v>2</v>
      </c>
      <c r="E265" s="18">
        <v>0</v>
      </c>
      <c r="F265" s="18">
        <v>2</v>
      </c>
      <c r="G265" s="18">
        <v>2</v>
      </c>
      <c r="H265" s="18">
        <v>2</v>
      </c>
      <c r="I265" s="18">
        <v>1</v>
      </c>
      <c r="J265" s="19">
        <v>2</v>
      </c>
      <c r="K265" s="18">
        <v>2</v>
      </c>
      <c r="L265" s="18">
        <v>1</v>
      </c>
      <c r="M265" s="18">
        <v>2</v>
      </c>
      <c r="N265" s="18">
        <v>2</v>
      </c>
      <c r="O265" s="18">
        <v>2</v>
      </c>
      <c r="P265" s="18">
        <v>2</v>
      </c>
      <c r="Q265" s="17">
        <v>10</v>
      </c>
      <c r="R265">
        <v>2</v>
      </c>
      <c r="S265">
        <v>1</v>
      </c>
      <c r="T265">
        <v>0</v>
      </c>
      <c r="U265" s="14">
        <f t="shared" si="56"/>
        <v>13</v>
      </c>
      <c r="V265" t="b">
        <f t="shared" si="57"/>
        <v>1</v>
      </c>
      <c r="W265" t="b">
        <f t="shared" si="58"/>
        <v>1</v>
      </c>
      <c r="X265" t="b">
        <f t="shared" si="59"/>
        <v>1</v>
      </c>
      <c r="Y265" t="b">
        <f t="shared" si="60"/>
        <v>1</v>
      </c>
      <c r="Z265" t="b">
        <f t="shared" si="61"/>
        <v>1</v>
      </c>
      <c r="AA265" t="b">
        <f t="shared" si="62"/>
        <v>1</v>
      </c>
      <c r="AB265" t="b">
        <f t="shared" si="63"/>
        <v>1</v>
      </c>
      <c r="AC265" t="b">
        <f t="shared" si="64"/>
        <v>1</v>
      </c>
      <c r="AD265" t="b">
        <f t="shared" si="65"/>
        <v>1</v>
      </c>
      <c r="AE265" t="b">
        <f t="shared" si="66"/>
        <v>1</v>
      </c>
      <c r="AF265" t="b">
        <f t="shared" si="67"/>
        <v>0</v>
      </c>
      <c r="AG265" t="b">
        <f t="shared" si="68"/>
        <v>0</v>
      </c>
      <c r="AH265" t="b">
        <f t="shared" si="69"/>
        <v>0</v>
      </c>
    </row>
    <row r="266" spans="1:34" x14ac:dyDescent="0.2">
      <c r="A266" s="12" t="s">
        <v>56</v>
      </c>
      <c r="B266" s="12" t="s">
        <v>346</v>
      </c>
      <c r="C266" s="13" t="s">
        <v>346</v>
      </c>
      <c r="D266" s="18">
        <v>0</v>
      </c>
      <c r="E266" s="18">
        <v>2</v>
      </c>
      <c r="F266" s="18">
        <v>2</v>
      </c>
      <c r="G266" s="18">
        <v>2</v>
      </c>
      <c r="H266" s="18">
        <v>0</v>
      </c>
      <c r="I266" s="18">
        <v>0</v>
      </c>
      <c r="J266" s="19">
        <v>2</v>
      </c>
      <c r="K266" s="18">
        <v>0</v>
      </c>
      <c r="L266" s="18">
        <v>1</v>
      </c>
      <c r="M266" s="18">
        <v>1</v>
      </c>
      <c r="N266" s="18">
        <v>0</v>
      </c>
      <c r="O266" s="18">
        <v>2</v>
      </c>
      <c r="P266" s="18">
        <v>1</v>
      </c>
      <c r="Q266" s="17">
        <v>5</v>
      </c>
      <c r="R266">
        <v>3</v>
      </c>
      <c r="S266">
        <v>5</v>
      </c>
      <c r="T266">
        <v>0</v>
      </c>
      <c r="U266" s="14">
        <f t="shared" si="56"/>
        <v>13</v>
      </c>
      <c r="V266" t="b">
        <f t="shared" si="57"/>
        <v>1</v>
      </c>
      <c r="W266" t="b">
        <f t="shared" si="58"/>
        <v>1</v>
      </c>
      <c r="X266" t="b">
        <f t="shared" si="59"/>
        <v>1</v>
      </c>
      <c r="Y266" t="b">
        <f t="shared" si="60"/>
        <v>1</v>
      </c>
      <c r="Z266" t="b">
        <f t="shared" si="61"/>
        <v>1</v>
      </c>
      <c r="AA266" t="b">
        <f t="shared" si="62"/>
        <v>0</v>
      </c>
      <c r="AB266" t="b">
        <f t="shared" si="63"/>
        <v>0</v>
      </c>
      <c r="AC266" t="b">
        <f t="shared" si="64"/>
        <v>0</v>
      </c>
      <c r="AD266" t="b">
        <f t="shared" si="65"/>
        <v>0</v>
      </c>
      <c r="AE266" t="b">
        <f t="shared" si="66"/>
        <v>0</v>
      </c>
      <c r="AF266" t="b">
        <f t="shared" si="67"/>
        <v>0</v>
      </c>
      <c r="AG266" t="b">
        <f t="shared" si="68"/>
        <v>0</v>
      </c>
      <c r="AH266" t="b">
        <f t="shared" si="69"/>
        <v>0</v>
      </c>
    </row>
    <row r="267" spans="1:34" x14ac:dyDescent="0.2">
      <c r="A267" s="12" t="s">
        <v>211</v>
      </c>
      <c r="B267" s="12" t="s">
        <v>346</v>
      </c>
      <c r="C267" s="13" t="s">
        <v>346</v>
      </c>
      <c r="D267" s="18">
        <v>0</v>
      </c>
      <c r="E267" s="18">
        <v>0</v>
      </c>
      <c r="F267" s="18">
        <v>2</v>
      </c>
      <c r="G267" s="18">
        <v>2</v>
      </c>
      <c r="H267" s="18">
        <v>0</v>
      </c>
      <c r="I267" s="18">
        <v>0</v>
      </c>
      <c r="J267" s="19">
        <v>2</v>
      </c>
      <c r="K267" s="18">
        <v>0</v>
      </c>
      <c r="L267" s="18">
        <v>1</v>
      </c>
      <c r="M267" s="18">
        <v>0</v>
      </c>
      <c r="N267" s="18">
        <v>0</v>
      </c>
      <c r="O267" s="18">
        <v>2</v>
      </c>
      <c r="P267" s="18">
        <v>0</v>
      </c>
      <c r="Q267" s="17">
        <v>4</v>
      </c>
      <c r="R267">
        <v>1</v>
      </c>
      <c r="S267">
        <v>8</v>
      </c>
      <c r="T267">
        <v>0</v>
      </c>
      <c r="U267" s="14">
        <f t="shared" si="56"/>
        <v>13</v>
      </c>
      <c r="V267" t="b">
        <f t="shared" si="57"/>
        <v>1</v>
      </c>
      <c r="W267" t="b">
        <f t="shared" si="58"/>
        <v>1</v>
      </c>
      <c r="X267" t="b">
        <f t="shared" si="59"/>
        <v>1</v>
      </c>
      <c r="Y267" t="b">
        <f t="shared" si="60"/>
        <v>1</v>
      </c>
      <c r="Z267" t="b">
        <f t="shared" si="61"/>
        <v>0</v>
      </c>
      <c r="AA267" t="b">
        <f t="shared" si="62"/>
        <v>0</v>
      </c>
      <c r="AB267" t="b">
        <f t="shared" si="63"/>
        <v>0</v>
      </c>
      <c r="AC267" t="b">
        <f t="shared" si="64"/>
        <v>0</v>
      </c>
      <c r="AD267" t="b">
        <f t="shared" si="65"/>
        <v>0</v>
      </c>
      <c r="AE267" t="b">
        <f t="shared" si="66"/>
        <v>0</v>
      </c>
      <c r="AF267" t="b">
        <f t="shared" si="67"/>
        <v>0</v>
      </c>
      <c r="AG267" t="b">
        <f t="shared" si="68"/>
        <v>0</v>
      </c>
      <c r="AH267" t="b">
        <f t="shared" si="69"/>
        <v>0</v>
      </c>
    </row>
    <row r="268" spans="1:34" x14ac:dyDescent="0.2">
      <c r="A268" s="12" t="s">
        <v>325</v>
      </c>
      <c r="B268" s="12" t="s">
        <v>71</v>
      </c>
      <c r="C268" s="13" t="s">
        <v>71</v>
      </c>
      <c r="D268" s="18">
        <v>1</v>
      </c>
      <c r="E268" s="18">
        <v>1</v>
      </c>
      <c r="F268" s="18">
        <v>2</v>
      </c>
      <c r="G268" s="18">
        <v>2</v>
      </c>
      <c r="H268" s="18">
        <v>2</v>
      </c>
      <c r="I268" s="18">
        <v>1</v>
      </c>
      <c r="J268" s="19">
        <v>2</v>
      </c>
      <c r="K268" s="18">
        <v>1</v>
      </c>
      <c r="L268" s="18">
        <v>1</v>
      </c>
      <c r="M268" s="18">
        <v>2</v>
      </c>
      <c r="N268" s="18">
        <v>1</v>
      </c>
      <c r="O268" s="18">
        <v>2</v>
      </c>
      <c r="P268" s="18">
        <v>1</v>
      </c>
      <c r="Q268" s="17">
        <v>6</v>
      </c>
      <c r="R268">
        <v>7</v>
      </c>
      <c r="S268">
        <v>0</v>
      </c>
      <c r="T268">
        <v>0</v>
      </c>
      <c r="U268" s="14">
        <f t="shared" si="56"/>
        <v>13</v>
      </c>
      <c r="V268" t="b">
        <f t="shared" si="57"/>
        <v>1</v>
      </c>
      <c r="W268" t="b">
        <f t="shared" si="58"/>
        <v>1</v>
      </c>
      <c r="X268" t="b">
        <f t="shared" si="59"/>
        <v>1</v>
      </c>
      <c r="Y268" t="b">
        <f t="shared" si="60"/>
        <v>1</v>
      </c>
      <c r="Z268" t="b">
        <f t="shared" si="61"/>
        <v>1</v>
      </c>
      <c r="AA268" t="b">
        <f t="shared" si="62"/>
        <v>1</v>
      </c>
      <c r="AB268" t="b">
        <f t="shared" si="63"/>
        <v>0</v>
      </c>
      <c r="AC268" t="b">
        <f t="shared" si="64"/>
        <v>0</v>
      </c>
      <c r="AD268" t="b">
        <f t="shared" si="65"/>
        <v>0</v>
      </c>
      <c r="AE268" t="b">
        <f t="shared" si="66"/>
        <v>0</v>
      </c>
      <c r="AF268" t="b">
        <f t="shared" si="67"/>
        <v>0</v>
      </c>
      <c r="AG268" t="b">
        <f t="shared" si="68"/>
        <v>0</v>
      </c>
      <c r="AH268" t="b">
        <f t="shared" si="69"/>
        <v>0</v>
      </c>
    </row>
    <row r="269" spans="1:34" x14ac:dyDescent="0.2">
      <c r="A269" s="12" t="s">
        <v>338</v>
      </c>
      <c r="B269" s="12" t="s">
        <v>71</v>
      </c>
      <c r="C269" s="13" t="s">
        <v>71</v>
      </c>
      <c r="D269" s="18">
        <v>2</v>
      </c>
      <c r="E269" s="18">
        <v>1</v>
      </c>
      <c r="F269" s="18">
        <v>2</v>
      </c>
      <c r="G269" s="18">
        <v>2</v>
      </c>
      <c r="H269" s="18">
        <v>2</v>
      </c>
      <c r="I269" s="18">
        <v>1</v>
      </c>
      <c r="J269" s="19">
        <v>2</v>
      </c>
      <c r="K269" s="18">
        <v>1</v>
      </c>
      <c r="L269" s="18">
        <v>1</v>
      </c>
      <c r="M269" s="18">
        <v>2</v>
      </c>
      <c r="N269" s="18">
        <v>2</v>
      </c>
      <c r="O269" s="18">
        <v>2</v>
      </c>
      <c r="P269" s="18">
        <v>1</v>
      </c>
      <c r="Q269" s="17">
        <v>8</v>
      </c>
      <c r="R269">
        <v>5</v>
      </c>
      <c r="S269">
        <v>0</v>
      </c>
      <c r="T269">
        <v>0</v>
      </c>
      <c r="U269" s="14">
        <f t="shared" si="56"/>
        <v>13</v>
      </c>
      <c r="V269" t="b">
        <f t="shared" si="57"/>
        <v>1</v>
      </c>
      <c r="W269" t="b">
        <f t="shared" si="58"/>
        <v>1</v>
      </c>
      <c r="X269" t="b">
        <f t="shared" si="59"/>
        <v>1</v>
      </c>
      <c r="Y269" t="b">
        <f t="shared" si="60"/>
        <v>1</v>
      </c>
      <c r="Z269" t="b">
        <f t="shared" si="61"/>
        <v>1</v>
      </c>
      <c r="AA269" t="b">
        <f t="shared" si="62"/>
        <v>1</v>
      </c>
      <c r="AB269" t="b">
        <f t="shared" si="63"/>
        <v>1</v>
      </c>
      <c r="AC269" t="b">
        <f t="shared" si="64"/>
        <v>1</v>
      </c>
      <c r="AD269" t="b">
        <f t="shared" si="65"/>
        <v>0</v>
      </c>
      <c r="AE269" t="b">
        <f t="shared" si="66"/>
        <v>0</v>
      </c>
      <c r="AF269" t="b">
        <f t="shared" si="67"/>
        <v>0</v>
      </c>
      <c r="AG269" t="b">
        <f t="shared" si="68"/>
        <v>0</v>
      </c>
      <c r="AH269" t="b">
        <f t="shared" si="69"/>
        <v>0</v>
      </c>
    </row>
    <row r="270" spans="1:34" x14ac:dyDescent="0.2">
      <c r="A270" s="12" t="s">
        <v>347</v>
      </c>
      <c r="B270" s="12" t="s">
        <v>74</v>
      </c>
      <c r="C270" s="13" t="s">
        <v>74</v>
      </c>
      <c r="D270" s="18">
        <v>0</v>
      </c>
      <c r="E270" s="18">
        <v>1</v>
      </c>
      <c r="F270" s="18">
        <v>0</v>
      </c>
      <c r="G270" s="18">
        <v>0</v>
      </c>
      <c r="H270" s="18">
        <v>0</v>
      </c>
      <c r="I270" s="18">
        <v>0</v>
      </c>
      <c r="J270" s="19">
        <v>0</v>
      </c>
      <c r="K270" s="18">
        <v>0</v>
      </c>
      <c r="L270" s="18">
        <v>0</v>
      </c>
      <c r="M270" s="18">
        <v>0</v>
      </c>
      <c r="N270" s="18">
        <v>0</v>
      </c>
      <c r="O270" s="18"/>
      <c r="P270" s="18">
        <v>0</v>
      </c>
      <c r="Q270" s="17">
        <v>0</v>
      </c>
      <c r="R270">
        <v>1</v>
      </c>
      <c r="S270">
        <v>11</v>
      </c>
      <c r="T270">
        <v>1</v>
      </c>
      <c r="U270" s="14">
        <f t="shared" si="56"/>
        <v>13</v>
      </c>
      <c r="V270" t="b">
        <f t="shared" si="57"/>
        <v>0</v>
      </c>
      <c r="W270" t="b">
        <f t="shared" si="58"/>
        <v>0</v>
      </c>
      <c r="X270" t="b">
        <f t="shared" si="59"/>
        <v>0</v>
      </c>
      <c r="Y270" t="b">
        <f t="shared" si="60"/>
        <v>0</v>
      </c>
      <c r="Z270" t="b">
        <f t="shared" si="61"/>
        <v>0</v>
      </c>
      <c r="AA270" t="b">
        <f t="shared" si="62"/>
        <v>0</v>
      </c>
      <c r="AB270" t="b">
        <f t="shared" si="63"/>
        <v>0</v>
      </c>
      <c r="AC270" t="b">
        <f t="shared" si="64"/>
        <v>0</v>
      </c>
      <c r="AD270" t="b">
        <f t="shared" si="65"/>
        <v>0</v>
      </c>
      <c r="AE270" t="b">
        <f t="shared" si="66"/>
        <v>0</v>
      </c>
      <c r="AF270" t="b">
        <f t="shared" si="67"/>
        <v>0</v>
      </c>
      <c r="AG270" t="b">
        <f t="shared" si="68"/>
        <v>0</v>
      </c>
      <c r="AH270" t="b">
        <f t="shared" si="69"/>
        <v>0</v>
      </c>
    </row>
    <row r="271" spans="1:34" x14ac:dyDescent="0.2">
      <c r="A271" s="12" t="s">
        <v>348</v>
      </c>
      <c r="B271" s="12" t="s">
        <v>74</v>
      </c>
      <c r="C271" s="13" t="s">
        <v>74</v>
      </c>
      <c r="D271" s="18">
        <v>0</v>
      </c>
      <c r="E271" s="18">
        <v>2</v>
      </c>
      <c r="F271" s="18">
        <v>2</v>
      </c>
      <c r="G271" s="18">
        <v>0</v>
      </c>
      <c r="H271" s="18">
        <v>0</v>
      </c>
      <c r="I271" s="18">
        <v>0</v>
      </c>
      <c r="J271" s="19">
        <v>0</v>
      </c>
      <c r="K271" s="18">
        <v>0</v>
      </c>
      <c r="L271" s="18">
        <v>2</v>
      </c>
      <c r="M271" s="18">
        <v>0</v>
      </c>
      <c r="N271" s="18">
        <v>0</v>
      </c>
      <c r="O271" s="18">
        <v>2</v>
      </c>
      <c r="P271" s="18">
        <v>0</v>
      </c>
      <c r="Q271" s="17">
        <v>4</v>
      </c>
      <c r="R271">
        <v>0</v>
      </c>
      <c r="S271">
        <v>9</v>
      </c>
      <c r="T271">
        <v>0</v>
      </c>
      <c r="U271" s="14">
        <f t="shared" si="56"/>
        <v>13</v>
      </c>
      <c r="V271" t="b">
        <f t="shared" si="57"/>
        <v>1</v>
      </c>
      <c r="W271" t="b">
        <f t="shared" si="58"/>
        <v>1</v>
      </c>
      <c r="X271" t="b">
        <f t="shared" si="59"/>
        <v>1</v>
      </c>
      <c r="Y271" t="b">
        <f t="shared" si="60"/>
        <v>1</v>
      </c>
      <c r="Z271" t="b">
        <f t="shared" si="61"/>
        <v>0</v>
      </c>
      <c r="AA271" t="b">
        <f t="shared" si="62"/>
        <v>0</v>
      </c>
      <c r="AB271" t="b">
        <f t="shared" si="63"/>
        <v>0</v>
      </c>
      <c r="AC271" t="b">
        <f t="shared" si="64"/>
        <v>0</v>
      </c>
      <c r="AD271" t="b">
        <f t="shared" si="65"/>
        <v>0</v>
      </c>
      <c r="AE271" t="b">
        <f t="shared" si="66"/>
        <v>0</v>
      </c>
      <c r="AF271" t="b">
        <f t="shared" si="67"/>
        <v>0</v>
      </c>
      <c r="AG271" t="b">
        <f t="shared" si="68"/>
        <v>0</v>
      </c>
      <c r="AH271" t="b">
        <f t="shared" si="69"/>
        <v>0</v>
      </c>
    </row>
    <row r="272" spans="1:34" x14ac:dyDescent="0.2">
      <c r="A272" s="12" t="s">
        <v>349</v>
      </c>
      <c r="B272" s="12" t="s">
        <v>74</v>
      </c>
      <c r="C272" s="13" t="s">
        <v>74</v>
      </c>
      <c r="D272" s="18">
        <v>2</v>
      </c>
      <c r="E272" s="18">
        <v>0</v>
      </c>
      <c r="F272" s="18">
        <v>2</v>
      </c>
      <c r="G272" s="18">
        <v>2</v>
      </c>
      <c r="H272" s="18">
        <v>2</v>
      </c>
      <c r="I272" s="18">
        <v>0</v>
      </c>
      <c r="J272" s="19">
        <v>2</v>
      </c>
      <c r="K272" s="18">
        <v>2</v>
      </c>
      <c r="L272" s="18">
        <v>1</v>
      </c>
      <c r="M272" s="18">
        <v>2</v>
      </c>
      <c r="N272" s="18"/>
      <c r="O272" s="18">
        <v>2</v>
      </c>
      <c r="P272" s="18">
        <v>0</v>
      </c>
      <c r="Q272" s="17">
        <v>8</v>
      </c>
      <c r="R272">
        <v>1</v>
      </c>
      <c r="S272">
        <v>3</v>
      </c>
      <c r="T272">
        <v>1</v>
      </c>
      <c r="U272" s="14">
        <f t="shared" si="56"/>
        <v>13</v>
      </c>
      <c r="V272" t="b">
        <f t="shared" si="57"/>
        <v>1</v>
      </c>
      <c r="W272" t="b">
        <f t="shared" si="58"/>
        <v>1</v>
      </c>
      <c r="X272" t="b">
        <f t="shared" si="59"/>
        <v>1</v>
      </c>
      <c r="Y272" t="b">
        <f t="shared" si="60"/>
        <v>1</v>
      </c>
      <c r="Z272" t="b">
        <f t="shared" si="61"/>
        <v>1</v>
      </c>
      <c r="AA272" t="b">
        <f t="shared" si="62"/>
        <v>1</v>
      </c>
      <c r="AB272" t="b">
        <f t="shared" si="63"/>
        <v>1</v>
      </c>
      <c r="AC272" t="b">
        <f t="shared" si="64"/>
        <v>1</v>
      </c>
      <c r="AD272" t="b">
        <f t="shared" si="65"/>
        <v>0</v>
      </c>
      <c r="AE272" t="b">
        <f t="shared" si="66"/>
        <v>0</v>
      </c>
      <c r="AF272" t="b">
        <f t="shared" si="67"/>
        <v>0</v>
      </c>
      <c r="AG272" t="b">
        <f t="shared" si="68"/>
        <v>0</v>
      </c>
      <c r="AH272" t="b">
        <f t="shared" si="69"/>
        <v>0</v>
      </c>
    </row>
    <row r="273" spans="1:34" x14ac:dyDescent="0.2">
      <c r="A273" s="12" t="s">
        <v>350</v>
      </c>
      <c r="B273" s="12" t="s">
        <v>74</v>
      </c>
      <c r="C273" s="13" t="s">
        <v>74</v>
      </c>
      <c r="D273" s="18">
        <v>2</v>
      </c>
      <c r="E273" s="18">
        <v>0</v>
      </c>
      <c r="F273" s="18">
        <v>2</v>
      </c>
      <c r="G273" s="18">
        <v>2</v>
      </c>
      <c r="H273" s="18">
        <v>2</v>
      </c>
      <c r="I273" s="18">
        <v>0</v>
      </c>
      <c r="J273" s="19">
        <v>2</v>
      </c>
      <c r="K273" s="18">
        <v>2</v>
      </c>
      <c r="L273" s="18">
        <v>1</v>
      </c>
      <c r="M273" s="18">
        <v>2</v>
      </c>
      <c r="N273" s="18">
        <v>2</v>
      </c>
      <c r="O273" s="18">
        <v>2</v>
      </c>
      <c r="P273" s="18">
        <v>2</v>
      </c>
      <c r="Q273" s="17">
        <v>10</v>
      </c>
      <c r="R273">
        <v>1</v>
      </c>
      <c r="S273">
        <v>2</v>
      </c>
      <c r="T273">
        <v>0</v>
      </c>
      <c r="U273" s="14">
        <f t="shared" si="56"/>
        <v>13</v>
      </c>
      <c r="V273" t="b">
        <f t="shared" si="57"/>
        <v>1</v>
      </c>
      <c r="W273" t="b">
        <f t="shared" si="58"/>
        <v>1</v>
      </c>
      <c r="X273" t="b">
        <f t="shared" si="59"/>
        <v>1</v>
      </c>
      <c r="Y273" t="b">
        <f t="shared" si="60"/>
        <v>1</v>
      </c>
      <c r="Z273" t="b">
        <f t="shared" si="61"/>
        <v>1</v>
      </c>
      <c r="AA273" t="b">
        <f t="shared" si="62"/>
        <v>1</v>
      </c>
      <c r="AB273" t="b">
        <f t="shared" si="63"/>
        <v>1</v>
      </c>
      <c r="AC273" t="b">
        <f t="shared" si="64"/>
        <v>1</v>
      </c>
      <c r="AD273" t="b">
        <f t="shared" si="65"/>
        <v>1</v>
      </c>
      <c r="AE273" t="b">
        <f t="shared" si="66"/>
        <v>1</v>
      </c>
      <c r="AF273" t="b">
        <f t="shared" si="67"/>
        <v>0</v>
      </c>
      <c r="AG273" t="b">
        <f t="shared" si="68"/>
        <v>0</v>
      </c>
      <c r="AH273" t="b">
        <f t="shared" si="69"/>
        <v>0</v>
      </c>
    </row>
    <row r="274" spans="1:34" x14ac:dyDescent="0.2">
      <c r="A274" s="12" t="s">
        <v>351</v>
      </c>
      <c r="B274" s="12" t="s">
        <v>74</v>
      </c>
      <c r="C274" s="13" t="s">
        <v>74</v>
      </c>
      <c r="D274" s="18">
        <v>2</v>
      </c>
      <c r="E274" s="18">
        <v>0</v>
      </c>
      <c r="F274" s="18">
        <v>2</v>
      </c>
      <c r="G274" s="18">
        <v>2</v>
      </c>
      <c r="H274" s="18">
        <v>0</v>
      </c>
      <c r="I274" s="18">
        <v>0</v>
      </c>
      <c r="J274" s="19">
        <v>1</v>
      </c>
      <c r="K274" s="18">
        <v>1</v>
      </c>
      <c r="L274" s="18">
        <v>1</v>
      </c>
      <c r="M274" s="18">
        <v>1</v>
      </c>
      <c r="N274" s="18"/>
      <c r="O274" s="18">
        <v>2</v>
      </c>
      <c r="P274" s="18">
        <v>2</v>
      </c>
      <c r="Q274" s="17">
        <v>5</v>
      </c>
      <c r="R274">
        <v>4</v>
      </c>
      <c r="S274">
        <v>3</v>
      </c>
      <c r="T274">
        <v>1</v>
      </c>
      <c r="U274" s="14">
        <f t="shared" si="56"/>
        <v>13</v>
      </c>
      <c r="V274" t="b">
        <f t="shared" si="57"/>
        <v>1</v>
      </c>
      <c r="W274" t="b">
        <f t="shared" si="58"/>
        <v>1</v>
      </c>
      <c r="X274" t="b">
        <f t="shared" si="59"/>
        <v>1</v>
      </c>
      <c r="Y274" t="b">
        <f t="shared" si="60"/>
        <v>1</v>
      </c>
      <c r="Z274" t="b">
        <f t="shared" si="61"/>
        <v>1</v>
      </c>
      <c r="AA274" t="b">
        <f t="shared" si="62"/>
        <v>0</v>
      </c>
      <c r="AB274" t="b">
        <f t="shared" si="63"/>
        <v>0</v>
      </c>
      <c r="AC274" t="b">
        <f t="shared" si="64"/>
        <v>0</v>
      </c>
      <c r="AD274" t="b">
        <f t="shared" si="65"/>
        <v>0</v>
      </c>
      <c r="AE274" t="b">
        <f t="shared" si="66"/>
        <v>0</v>
      </c>
      <c r="AF274" t="b">
        <f t="shared" si="67"/>
        <v>0</v>
      </c>
      <c r="AG274" t="b">
        <f t="shared" si="68"/>
        <v>0</v>
      </c>
      <c r="AH274" t="b">
        <f t="shared" si="69"/>
        <v>0</v>
      </c>
    </row>
    <row r="275" spans="1:34" x14ac:dyDescent="0.2">
      <c r="A275" s="12" t="s">
        <v>352</v>
      </c>
      <c r="B275" s="12" t="s">
        <v>78</v>
      </c>
      <c r="C275" s="13" t="s">
        <v>78</v>
      </c>
      <c r="D275" s="18">
        <v>1</v>
      </c>
      <c r="E275" s="18">
        <v>1</v>
      </c>
      <c r="F275" s="18">
        <v>2</v>
      </c>
      <c r="G275" s="18">
        <v>2</v>
      </c>
      <c r="H275" s="18">
        <v>1</v>
      </c>
      <c r="I275" s="18">
        <v>2</v>
      </c>
      <c r="J275" s="19">
        <v>1</v>
      </c>
      <c r="K275" s="18">
        <v>2</v>
      </c>
      <c r="L275" s="18">
        <v>2</v>
      </c>
      <c r="M275" s="18">
        <v>0</v>
      </c>
      <c r="N275" s="18">
        <v>0</v>
      </c>
      <c r="O275" s="18">
        <v>2</v>
      </c>
      <c r="P275" s="18">
        <v>0</v>
      </c>
      <c r="Q275" s="17">
        <v>6</v>
      </c>
      <c r="R275">
        <v>4</v>
      </c>
      <c r="S275">
        <v>3</v>
      </c>
      <c r="T275">
        <v>0</v>
      </c>
      <c r="U275" s="14">
        <f t="shared" si="56"/>
        <v>13</v>
      </c>
      <c r="V275" t="b">
        <f t="shared" si="57"/>
        <v>1</v>
      </c>
      <c r="W275" t="b">
        <f t="shared" si="58"/>
        <v>1</v>
      </c>
      <c r="X275" t="b">
        <f t="shared" si="59"/>
        <v>1</v>
      </c>
      <c r="Y275" t="b">
        <f t="shared" si="60"/>
        <v>1</v>
      </c>
      <c r="Z275" t="b">
        <f t="shared" si="61"/>
        <v>1</v>
      </c>
      <c r="AA275" t="b">
        <f t="shared" si="62"/>
        <v>1</v>
      </c>
      <c r="AB275" t="b">
        <f t="shared" si="63"/>
        <v>0</v>
      </c>
      <c r="AC275" t="b">
        <f t="shared" si="64"/>
        <v>0</v>
      </c>
      <c r="AD275" t="b">
        <f t="shared" si="65"/>
        <v>0</v>
      </c>
      <c r="AE275" t="b">
        <f t="shared" si="66"/>
        <v>0</v>
      </c>
      <c r="AF275" t="b">
        <f t="shared" si="67"/>
        <v>0</v>
      </c>
      <c r="AG275" t="b">
        <f t="shared" si="68"/>
        <v>0</v>
      </c>
      <c r="AH275" t="b">
        <f t="shared" si="69"/>
        <v>0</v>
      </c>
    </row>
    <row r="276" spans="1:34" x14ac:dyDescent="0.2">
      <c r="A276" s="12" t="s">
        <v>353</v>
      </c>
      <c r="B276" s="12" t="s">
        <v>78</v>
      </c>
      <c r="C276" s="13" t="s">
        <v>78</v>
      </c>
      <c r="D276" s="18">
        <v>1</v>
      </c>
      <c r="E276" s="18">
        <v>1</v>
      </c>
      <c r="F276" s="18">
        <v>2</v>
      </c>
      <c r="G276" s="18">
        <v>2</v>
      </c>
      <c r="H276" s="18">
        <v>0</v>
      </c>
      <c r="I276" s="18">
        <v>2</v>
      </c>
      <c r="J276" s="19">
        <v>1</v>
      </c>
      <c r="K276" s="18">
        <v>1</v>
      </c>
      <c r="L276" s="18">
        <v>1</v>
      </c>
      <c r="M276" s="18">
        <v>0</v>
      </c>
      <c r="N276" s="18"/>
      <c r="O276" s="18">
        <v>2</v>
      </c>
      <c r="P276" s="18">
        <v>0</v>
      </c>
      <c r="Q276" s="17">
        <v>4</v>
      </c>
      <c r="R276">
        <v>5</v>
      </c>
      <c r="S276">
        <v>3</v>
      </c>
      <c r="T276">
        <v>1</v>
      </c>
      <c r="U276" s="14">
        <f t="shared" si="56"/>
        <v>13</v>
      </c>
      <c r="V276" t="b">
        <f t="shared" si="57"/>
        <v>1</v>
      </c>
      <c r="W276" t="b">
        <f t="shared" si="58"/>
        <v>1</v>
      </c>
      <c r="X276" t="b">
        <f t="shared" si="59"/>
        <v>1</v>
      </c>
      <c r="Y276" t="b">
        <f t="shared" si="60"/>
        <v>1</v>
      </c>
      <c r="Z276" t="b">
        <f t="shared" si="61"/>
        <v>0</v>
      </c>
      <c r="AA276" t="b">
        <f t="shared" si="62"/>
        <v>0</v>
      </c>
      <c r="AB276" t="b">
        <f t="shared" si="63"/>
        <v>0</v>
      </c>
      <c r="AC276" t="b">
        <f t="shared" si="64"/>
        <v>0</v>
      </c>
      <c r="AD276" t="b">
        <f t="shared" si="65"/>
        <v>0</v>
      </c>
      <c r="AE276" t="b">
        <f t="shared" si="66"/>
        <v>0</v>
      </c>
      <c r="AF276" t="b">
        <f t="shared" si="67"/>
        <v>0</v>
      </c>
      <c r="AG276" t="b">
        <f t="shared" si="68"/>
        <v>0</v>
      </c>
      <c r="AH276" t="b">
        <f t="shared" si="69"/>
        <v>0</v>
      </c>
    </row>
    <row r="277" spans="1:34" x14ac:dyDescent="0.2">
      <c r="A277" s="12" t="s">
        <v>354</v>
      </c>
      <c r="B277" s="12" t="s">
        <v>78</v>
      </c>
      <c r="C277" s="13" t="s">
        <v>78</v>
      </c>
      <c r="D277" s="18">
        <v>0</v>
      </c>
      <c r="E277" s="18">
        <v>2</v>
      </c>
      <c r="F277" s="18">
        <v>2</v>
      </c>
      <c r="G277" s="18">
        <v>2</v>
      </c>
      <c r="H277" s="18">
        <v>0</v>
      </c>
      <c r="I277" s="18">
        <v>1</v>
      </c>
      <c r="J277" s="19">
        <v>1</v>
      </c>
      <c r="K277" s="18">
        <v>1</v>
      </c>
      <c r="L277" s="18">
        <v>1</v>
      </c>
      <c r="M277" s="18">
        <v>0</v>
      </c>
      <c r="N277" s="18"/>
      <c r="O277" s="18">
        <v>2</v>
      </c>
      <c r="P277" s="18">
        <v>0</v>
      </c>
      <c r="Q277" s="17">
        <v>4</v>
      </c>
      <c r="R277">
        <v>4</v>
      </c>
      <c r="S277">
        <v>4</v>
      </c>
      <c r="T277">
        <v>1</v>
      </c>
      <c r="U277" s="14">
        <f t="shared" si="56"/>
        <v>13</v>
      </c>
      <c r="V277" t="b">
        <f t="shared" si="57"/>
        <v>1</v>
      </c>
      <c r="W277" t="b">
        <f t="shared" si="58"/>
        <v>1</v>
      </c>
      <c r="X277" t="b">
        <f t="shared" si="59"/>
        <v>1</v>
      </c>
      <c r="Y277" t="b">
        <f t="shared" si="60"/>
        <v>1</v>
      </c>
      <c r="Z277" t="b">
        <f t="shared" si="61"/>
        <v>0</v>
      </c>
      <c r="AA277" t="b">
        <f t="shared" si="62"/>
        <v>0</v>
      </c>
      <c r="AB277" t="b">
        <f t="shared" si="63"/>
        <v>0</v>
      </c>
      <c r="AC277" t="b">
        <f t="shared" si="64"/>
        <v>0</v>
      </c>
      <c r="AD277" t="b">
        <f t="shared" si="65"/>
        <v>0</v>
      </c>
      <c r="AE277" t="b">
        <f t="shared" si="66"/>
        <v>0</v>
      </c>
      <c r="AF277" t="b">
        <f t="shared" si="67"/>
        <v>0</v>
      </c>
      <c r="AG277" t="b">
        <f t="shared" si="68"/>
        <v>0</v>
      </c>
      <c r="AH277" t="b">
        <f t="shared" si="69"/>
        <v>0</v>
      </c>
    </row>
    <row r="278" spans="1:34" x14ac:dyDescent="0.2">
      <c r="A278" s="12" t="s">
        <v>355</v>
      </c>
      <c r="B278" s="12" t="s">
        <v>78</v>
      </c>
      <c r="C278" s="13" t="s">
        <v>78</v>
      </c>
      <c r="D278" s="18">
        <v>0</v>
      </c>
      <c r="E278" s="18">
        <v>2</v>
      </c>
      <c r="F278" s="18">
        <v>2</v>
      </c>
      <c r="G278" s="18">
        <v>0</v>
      </c>
      <c r="H278" s="18">
        <v>0</v>
      </c>
      <c r="I278" s="18">
        <v>0</v>
      </c>
      <c r="J278" s="19">
        <v>1</v>
      </c>
      <c r="K278" s="18">
        <v>1</v>
      </c>
      <c r="L278" s="18">
        <v>2</v>
      </c>
      <c r="M278" s="18">
        <v>0</v>
      </c>
      <c r="N278" s="18"/>
      <c r="O278" s="18">
        <v>2</v>
      </c>
      <c r="P278" s="18">
        <v>0</v>
      </c>
      <c r="Q278" s="17">
        <v>4</v>
      </c>
      <c r="R278">
        <v>2</v>
      </c>
      <c r="S278">
        <v>6</v>
      </c>
      <c r="T278">
        <v>1</v>
      </c>
      <c r="U278" s="14">
        <f t="shared" si="56"/>
        <v>13</v>
      </c>
      <c r="V278" t="b">
        <f t="shared" si="57"/>
        <v>1</v>
      </c>
      <c r="W278" t="b">
        <f t="shared" si="58"/>
        <v>1</v>
      </c>
      <c r="X278" t="b">
        <f t="shared" si="59"/>
        <v>1</v>
      </c>
      <c r="Y278" t="b">
        <f t="shared" si="60"/>
        <v>1</v>
      </c>
      <c r="Z278" t="b">
        <f t="shared" si="61"/>
        <v>0</v>
      </c>
      <c r="AA278" t="b">
        <f t="shared" si="62"/>
        <v>0</v>
      </c>
      <c r="AB278" t="b">
        <f t="shared" si="63"/>
        <v>0</v>
      </c>
      <c r="AC278" t="b">
        <f t="shared" si="64"/>
        <v>0</v>
      </c>
      <c r="AD278" t="b">
        <f t="shared" si="65"/>
        <v>0</v>
      </c>
      <c r="AE278" t="b">
        <f t="shared" si="66"/>
        <v>0</v>
      </c>
      <c r="AF278" t="b">
        <f t="shared" si="67"/>
        <v>0</v>
      </c>
      <c r="AG278" t="b">
        <f t="shared" si="68"/>
        <v>0</v>
      </c>
      <c r="AH278" t="b">
        <f t="shared" si="69"/>
        <v>0</v>
      </c>
    </row>
    <row r="279" spans="1:34" x14ac:dyDescent="0.2">
      <c r="A279" s="12" t="s">
        <v>356</v>
      </c>
      <c r="B279" s="12" t="s">
        <v>78</v>
      </c>
      <c r="C279" s="13" t="s">
        <v>78</v>
      </c>
      <c r="D279" s="18">
        <v>0</v>
      </c>
      <c r="E279" s="18">
        <v>2</v>
      </c>
      <c r="F279" s="18">
        <v>2</v>
      </c>
      <c r="G279" s="18">
        <v>0</v>
      </c>
      <c r="H279" s="18">
        <v>0</v>
      </c>
      <c r="I279" s="18">
        <v>0</v>
      </c>
      <c r="J279" s="19">
        <v>2</v>
      </c>
      <c r="K279" s="18">
        <v>2</v>
      </c>
      <c r="L279" s="18">
        <v>0</v>
      </c>
      <c r="M279" s="18">
        <v>0</v>
      </c>
      <c r="N279" s="18"/>
      <c r="O279" s="18">
        <v>2</v>
      </c>
      <c r="P279" s="18">
        <v>0</v>
      </c>
      <c r="Q279" s="17">
        <v>5</v>
      </c>
      <c r="R279">
        <v>0</v>
      </c>
      <c r="S279">
        <v>7</v>
      </c>
      <c r="T279">
        <v>1</v>
      </c>
      <c r="U279" s="14">
        <f t="shared" si="56"/>
        <v>13</v>
      </c>
      <c r="V279" t="b">
        <f t="shared" si="57"/>
        <v>1</v>
      </c>
      <c r="W279" t="b">
        <f t="shared" si="58"/>
        <v>1</v>
      </c>
      <c r="X279" t="b">
        <f t="shared" si="59"/>
        <v>1</v>
      </c>
      <c r="Y279" t="b">
        <f t="shared" si="60"/>
        <v>1</v>
      </c>
      <c r="Z279" t="b">
        <f t="shared" si="61"/>
        <v>1</v>
      </c>
      <c r="AA279" t="b">
        <f t="shared" si="62"/>
        <v>0</v>
      </c>
      <c r="AB279" t="b">
        <f t="shared" si="63"/>
        <v>0</v>
      </c>
      <c r="AC279" t="b">
        <f t="shared" si="64"/>
        <v>0</v>
      </c>
      <c r="AD279" t="b">
        <f t="shared" si="65"/>
        <v>0</v>
      </c>
      <c r="AE279" t="b">
        <f t="shared" si="66"/>
        <v>0</v>
      </c>
      <c r="AF279" t="b">
        <f t="shared" si="67"/>
        <v>0</v>
      </c>
      <c r="AG279" t="b">
        <f t="shared" si="68"/>
        <v>0</v>
      </c>
      <c r="AH279" t="b">
        <f t="shared" si="69"/>
        <v>0</v>
      </c>
    </row>
    <row r="280" spans="1:34" x14ac:dyDescent="0.2">
      <c r="A280" s="12" t="s">
        <v>357</v>
      </c>
      <c r="B280" s="12" t="s">
        <v>78</v>
      </c>
      <c r="C280" s="13" t="s">
        <v>78</v>
      </c>
      <c r="D280" s="18">
        <v>0</v>
      </c>
      <c r="E280" s="18">
        <v>0</v>
      </c>
      <c r="F280" s="18">
        <v>2</v>
      </c>
      <c r="G280" s="18">
        <v>2</v>
      </c>
      <c r="H280" s="18">
        <v>0</v>
      </c>
      <c r="I280" s="18">
        <v>0</v>
      </c>
      <c r="J280" s="19">
        <v>1</v>
      </c>
      <c r="K280" s="18">
        <v>0</v>
      </c>
      <c r="L280" s="18">
        <v>0</v>
      </c>
      <c r="M280" s="18">
        <v>0</v>
      </c>
      <c r="N280" s="18"/>
      <c r="O280" s="18">
        <v>2</v>
      </c>
      <c r="P280" s="18">
        <v>0</v>
      </c>
      <c r="Q280" s="17">
        <v>3</v>
      </c>
      <c r="R280">
        <v>1</v>
      </c>
      <c r="S280">
        <v>8</v>
      </c>
      <c r="T280">
        <v>1</v>
      </c>
      <c r="U280" s="14">
        <f t="shared" si="56"/>
        <v>13</v>
      </c>
      <c r="V280" t="b">
        <f t="shared" si="57"/>
        <v>1</v>
      </c>
      <c r="W280" t="b">
        <f t="shared" si="58"/>
        <v>1</v>
      </c>
      <c r="X280" t="b">
        <f t="shared" si="59"/>
        <v>1</v>
      </c>
      <c r="Y280" t="b">
        <f t="shared" si="60"/>
        <v>0</v>
      </c>
      <c r="Z280" t="b">
        <f t="shared" si="61"/>
        <v>0</v>
      </c>
      <c r="AA280" t="b">
        <f t="shared" si="62"/>
        <v>0</v>
      </c>
      <c r="AB280" t="b">
        <f t="shared" si="63"/>
        <v>0</v>
      </c>
      <c r="AC280" t="b">
        <f t="shared" si="64"/>
        <v>0</v>
      </c>
      <c r="AD280" t="b">
        <f t="shared" si="65"/>
        <v>0</v>
      </c>
      <c r="AE280" t="b">
        <f t="shared" si="66"/>
        <v>0</v>
      </c>
      <c r="AF280" t="b">
        <f t="shared" si="67"/>
        <v>0</v>
      </c>
      <c r="AG280" t="b">
        <f t="shared" si="68"/>
        <v>0</v>
      </c>
      <c r="AH280" t="b">
        <f t="shared" si="69"/>
        <v>0</v>
      </c>
    </row>
    <row r="281" spans="1:34" x14ac:dyDescent="0.2">
      <c r="A281" s="12" t="s">
        <v>358</v>
      </c>
      <c r="B281" s="12" t="s">
        <v>78</v>
      </c>
      <c r="C281" s="13" t="s">
        <v>78</v>
      </c>
      <c r="D281" s="18">
        <v>1</v>
      </c>
      <c r="E281" s="18">
        <v>2</v>
      </c>
      <c r="F281" s="18">
        <v>2</v>
      </c>
      <c r="G281" s="18">
        <v>2</v>
      </c>
      <c r="H281" s="18">
        <v>1</v>
      </c>
      <c r="I281" s="18">
        <v>0</v>
      </c>
      <c r="J281" s="19">
        <v>1</v>
      </c>
      <c r="K281" s="18">
        <v>1</v>
      </c>
      <c r="L281" s="18">
        <v>1</v>
      </c>
      <c r="M281" s="18">
        <v>1</v>
      </c>
      <c r="N281" s="18"/>
      <c r="O281" s="18">
        <v>2</v>
      </c>
      <c r="P281" s="18">
        <v>0</v>
      </c>
      <c r="Q281" s="17">
        <v>4</v>
      </c>
      <c r="R281">
        <v>6</v>
      </c>
      <c r="S281">
        <v>2</v>
      </c>
      <c r="T281">
        <v>1</v>
      </c>
      <c r="U281" s="14">
        <f t="shared" si="56"/>
        <v>13</v>
      </c>
      <c r="V281" t="b">
        <f t="shared" si="57"/>
        <v>1</v>
      </c>
      <c r="W281" t="b">
        <f t="shared" si="58"/>
        <v>1</v>
      </c>
      <c r="X281" t="b">
        <f t="shared" si="59"/>
        <v>1</v>
      </c>
      <c r="Y281" t="b">
        <f t="shared" si="60"/>
        <v>1</v>
      </c>
      <c r="Z281" t="b">
        <f t="shared" si="61"/>
        <v>0</v>
      </c>
      <c r="AA281" t="b">
        <f t="shared" si="62"/>
        <v>0</v>
      </c>
      <c r="AB281" t="b">
        <f t="shared" si="63"/>
        <v>0</v>
      </c>
      <c r="AC281" t="b">
        <f t="shared" si="64"/>
        <v>0</v>
      </c>
      <c r="AD281" t="b">
        <f t="shared" si="65"/>
        <v>0</v>
      </c>
      <c r="AE281" t="b">
        <f t="shared" si="66"/>
        <v>0</v>
      </c>
      <c r="AF281" t="b">
        <f t="shared" si="67"/>
        <v>0</v>
      </c>
      <c r="AG281" t="b">
        <f t="shared" si="68"/>
        <v>0</v>
      </c>
      <c r="AH281" t="b">
        <f t="shared" si="69"/>
        <v>0</v>
      </c>
    </row>
    <row r="282" spans="1:34" x14ac:dyDescent="0.2">
      <c r="A282" s="12" t="s">
        <v>359</v>
      </c>
      <c r="B282" s="12" t="s">
        <v>78</v>
      </c>
      <c r="C282" s="13" t="s">
        <v>78</v>
      </c>
      <c r="D282" s="18"/>
      <c r="E282" s="18">
        <v>2</v>
      </c>
      <c r="F282" s="18">
        <v>2</v>
      </c>
      <c r="G282" s="18">
        <v>0</v>
      </c>
      <c r="H282" s="18">
        <v>0</v>
      </c>
      <c r="I282" s="18">
        <v>0</v>
      </c>
      <c r="J282" s="19">
        <v>1</v>
      </c>
      <c r="K282" s="18"/>
      <c r="L282" s="18">
        <v>1</v>
      </c>
      <c r="M282" s="18">
        <v>0</v>
      </c>
      <c r="N282" s="18"/>
      <c r="O282" s="18">
        <v>2</v>
      </c>
      <c r="P282" s="18">
        <v>0</v>
      </c>
      <c r="Q282" s="17">
        <v>3</v>
      </c>
      <c r="R282">
        <v>2</v>
      </c>
      <c r="S282">
        <v>5</v>
      </c>
      <c r="T282">
        <v>3</v>
      </c>
      <c r="U282" s="14">
        <f t="shared" si="56"/>
        <v>13</v>
      </c>
      <c r="V282" t="b">
        <f t="shared" si="57"/>
        <v>1</v>
      </c>
      <c r="W282" t="b">
        <f t="shared" si="58"/>
        <v>1</v>
      </c>
      <c r="X282" t="b">
        <f t="shared" si="59"/>
        <v>1</v>
      </c>
      <c r="Y282" t="b">
        <f t="shared" si="60"/>
        <v>0</v>
      </c>
      <c r="Z282" t="b">
        <f t="shared" si="61"/>
        <v>0</v>
      </c>
      <c r="AA282" t="b">
        <f t="shared" si="62"/>
        <v>0</v>
      </c>
      <c r="AB282" t="b">
        <f t="shared" si="63"/>
        <v>0</v>
      </c>
      <c r="AC282" t="b">
        <f t="shared" si="64"/>
        <v>0</v>
      </c>
      <c r="AD282" t="b">
        <f t="shared" si="65"/>
        <v>0</v>
      </c>
      <c r="AE282" t="b">
        <f t="shared" si="66"/>
        <v>0</v>
      </c>
      <c r="AF282" t="b">
        <f t="shared" si="67"/>
        <v>0</v>
      </c>
      <c r="AG282" t="b">
        <f t="shared" si="68"/>
        <v>0</v>
      </c>
      <c r="AH282" t="b">
        <f t="shared" si="69"/>
        <v>0</v>
      </c>
    </row>
    <row r="283" spans="1:34" x14ac:dyDescent="0.2">
      <c r="A283" s="12" t="s">
        <v>360</v>
      </c>
      <c r="B283" s="12" t="s">
        <v>78</v>
      </c>
      <c r="C283" s="13" t="s">
        <v>78</v>
      </c>
      <c r="D283" s="18">
        <v>0</v>
      </c>
      <c r="E283" s="18">
        <v>2</v>
      </c>
      <c r="F283" s="18">
        <v>2</v>
      </c>
      <c r="G283" s="18">
        <v>2</v>
      </c>
      <c r="H283" s="18">
        <v>0</v>
      </c>
      <c r="I283" s="18">
        <v>0</v>
      </c>
      <c r="J283" s="19">
        <v>1</v>
      </c>
      <c r="K283" s="18"/>
      <c r="L283" s="18">
        <v>1</v>
      </c>
      <c r="M283" s="18">
        <v>2</v>
      </c>
      <c r="N283" s="18"/>
      <c r="O283" s="18">
        <v>2</v>
      </c>
      <c r="P283" s="18">
        <v>0</v>
      </c>
      <c r="Q283" s="17">
        <v>5</v>
      </c>
      <c r="R283">
        <v>2</v>
      </c>
      <c r="S283">
        <v>4</v>
      </c>
      <c r="T283">
        <v>2</v>
      </c>
      <c r="U283" s="14">
        <f t="shared" si="56"/>
        <v>13</v>
      </c>
      <c r="V283" t="b">
        <f t="shared" si="57"/>
        <v>1</v>
      </c>
      <c r="W283" t="b">
        <f t="shared" si="58"/>
        <v>1</v>
      </c>
      <c r="X283" t="b">
        <f t="shared" si="59"/>
        <v>1</v>
      </c>
      <c r="Y283" t="b">
        <f t="shared" si="60"/>
        <v>1</v>
      </c>
      <c r="Z283" t="b">
        <f t="shared" si="61"/>
        <v>1</v>
      </c>
      <c r="AA283" t="b">
        <f t="shared" si="62"/>
        <v>0</v>
      </c>
      <c r="AB283" t="b">
        <f t="shared" si="63"/>
        <v>0</v>
      </c>
      <c r="AC283" t="b">
        <f t="shared" si="64"/>
        <v>0</v>
      </c>
      <c r="AD283" t="b">
        <f t="shared" si="65"/>
        <v>0</v>
      </c>
      <c r="AE283" t="b">
        <f t="shared" si="66"/>
        <v>0</v>
      </c>
      <c r="AF283" t="b">
        <f t="shared" si="67"/>
        <v>0</v>
      </c>
      <c r="AG283" t="b">
        <f t="shared" si="68"/>
        <v>0</v>
      </c>
      <c r="AH283" t="b">
        <f t="shared" si="69"/>
        <v>0</v>
      </c>
    </row>
    <row r="284" spans="1:34" x14ac:dyDescent="0.2">
      <c r="A284" s="12" t="s">
        <v>233</v>
      </c>
      <c r="B284" s="12" t="s">
        <v>78</v>
      </c>
      <c r="C284" s="13" t="s">
        <v>78</v>
      </c>
      <c r="D284" s="18">
        <v>0</v>
      </c>
      <c r="E284" s="18">
        <v>2</v>
      </c>
      <c r="F284" s="18">
        <v>2</v>
      </c>
      <c r="G284" s="18">
        <v>2</v>
      </c>
      <c r="H284" s="18">
        <v>0</v>
      </c>
      <c r="I284" s="18">
        <v>1</v>
      </c>
      <c r="J284" s="19">
        <v>0</v>
      </c>
      <c r="K284" s="18">
        <v>2</v>
      </c>
      <c r="L284" s="18">
        <v>1</v>
      </c>
      <c r="M284" s="18">
        <v>0</v>
      </c>
      <c r="N284" s="18"/>
      <c r="O284" s="18">
        <v>2</v>
      </c>
      <c r="P284" s="18">
        <v>0</v>
      </c>
      <c r="Q284" s="17">
        <v>5</v>
      </c>
      <c r="R284">
        <v>2</v>
      </c>
      <c r="S284">
        <v>5</v>
      </c>
      <c r="T284">
        <v>1</v>
      </c>
      <c r="U284" s="14">
        <f t="shared" si="56"/>
        <v>13</v>
      </c>
      <c r="V284" t="b">
        <f t="shared" si="57"/>
        <v>1</v>
      </c>
      <c r="W284" t="b">
        <f t="shared" si="58"/>
        <v>1</v>
      </c>
      <c r="X284" t="b">
        <f t="shared" si="59"/>
        <v>1</v>
      </c>
      <c r="Y284" t="b">
        <f t="shared" si="60"/>
        <v>1</v>
      </c>
      <c r="Z284" t="b">
        <f t="shared" si="61"/>
        <v>1</v>
      </c>
      <c r="AA284" t="b">
        <f t="shared" si="62"/>
        <v>0</v>
      </c>
      <c r="AB284" t="b">
        <f t="shared" si="63"/>
        <v>0</v>
      </c>
      <c r="AC284" t="b">
        <f t="shared" si="64"/>
        <v>0</v>
      </c>
      <c r="AD284" t="b">
        <f t="shared" si="65"/>
        <v>0</v>
      </c>
      <c r="AE284" t="b">
        <f t="shared" si="66"/>
        <v>0</v>
      </c>
      <c r="AF284" t="b">
        <f t="shared" si="67"/>
        <v>0</v>
      </c>
      <c r="AG284" t="b">
        <f t="shared" si="68"/>
        <v>0</v>
      </c>
      <c r="AH284" t="b">
        <f t="shared" si="69"/>
        <v>0</v>
      </c>
    </row>
    <row r="285" spans="1:34" x14ac:dyDescent="0.2">
      <c r="A285" s="12" t="s">
        <v>361</v>
      </c>
      <c r="B285" s="12" t="s">
        <v>78</v>
      </c>
      <c r="C285" s="13" t="s">
        <v>78</v>
      </c>
      <c r="D285" s="18">
        <v>0</v>
      </c>
      <c r="E285" s="18">
        <v>2</v>
      </c>
      <c r="F285" s="18">
        <v>2</v>
      </c>
      <c r="G285" s="18">
        <v>0</v>
      </c>
      <c r="H285" s="18">
        <v>0</v>
      </c>
      <c r="I285" s="18">
        <v>0</v>
      </c>
      <c r="J285" s="19">
        <v>1</v>
      </c>
      <c r="K285" s="18">
        <v>2</v>
      </c>
      <c r="L285" s="18">
        <v>1</v>
      </c>
      <c r="M285" s="18">
        <v>1</v>
      </c>
      <c r="N285" s="18"/>
      <c r="O285" s="18">
        <v>2</v>
      </c>
      <c r="P285" s="18">
        <v>2</v>
      </c>
      <c r="Q285" s="17">
        <v>5</v>
      </c>
      <c r="R285">
        <v>3</v>
      </c>
      <c r="S285">
        <v>4</v>
      </c>
      <c r="T285">
        <v>1</v>
      </c>
      <c r="U285" s="14">
        <f t="shared" si="56"/>
        <v>13</v>
      </c>
      <c r="V285" t="b">
        <f t="shared" si="57"/>
        <v>1</v>
      </c>
      <c r="W285" t="b">
        <f t="shared" si="58"/>
        <v>1</v>
      </c>
      <c r="X285" t="b">
        <f t="shared" si="59"/>
        <v>1</v>
      </c>
      <c r="Y285" t="b">
        <f t="shared" si="60"/>
        <v>1</v>
      </c>
      <c r="Z285" t="b">
        <f t="shared" si="61"/>
        <v>1</v>
      </c>
      <c r="AA285" t="b">
        <f t="shared" si="62"/>
        <v>0</v>
      </c>
      <c r="AB285" t="b">
        <f t="shared" si="63"/>
        <v>0</v>
      </c>
      <c r="AC285" t="b">
        <f t="shared" si="64"/>
        <v>0</v>
      </c>
      <c r="AD285" t="b">
        <f t="shared" si="65"/>
        <v>0</v>
      </c>
      <c r="AE285" t="b">
        <f t="shared" si="66"/>
        <v>0</v>
      </c>
      <c r="AF285" t="b">
        <f t="shared" si="67"/>
        <v>0</v>
      </c>
      <c r="AG285" t="b">
        <f t="shared" si="68"/>
        <v>0</v>
      </c>
      <c r="AH285" t="b">
        <f t="shared" si="69"/>
        <v>0</v>
      </c>
    </row>
    <row r="286" spans="1:34" x14ac:dyDescent="0.2">
      <c r="A286" s="12" t="s">
        <v>362</v>
      </c>
      <c r="B286" s="12" t="s">
        <v>78</v>
      </c>
      <c r="C286" s="13" t="s">
        <v>78</v>
      </c>
      <c r="D286" s="18">
        <v>1</v>
      </c>
      <c r="E286" s="18">
        <v>2</v>
      </c>
      <c r="F286" s="18">
        <v>2</v>
      </c>
      <c r="G286" s="18">
        <v>2</v>
      </c>
      <c r="H286" s="18">
        <v>0</v>
      </c>
      <c r="I286" s="18">
        <v>1</v>
      </c>
      <c r="J286" s="19">
        <v>1</v>
      </c>
      <c r="K286" s="18">
        <v>2</v>
      </c>
      <c r="L286" s="18">
        <v>1</v>
      </c>
      <c r="M286" s="18">
        <v>2</v>
      </c>
      <c r="N286" s="18"/>
      <c r="O286" s="18">
        <v>2</v>
      </c>
      <c r="P286" s="18">
        <v>1</v>
      </c>
      <c r="Q286" s="17">
        <v>6</v>
      </c>
      <c r="R286">
        <v>5</v>
      </c>
      <c r="S286">
        <v>1</v>
      </c>
      <c r="T286">
        <v>1</v>
      </c>
      <c r="U286" s="14">
        <f t="shared" si="56"/>
        <v>13</v>
      </c>
      <c r="V286" t="b">
        <f t="shared" si="57"/>
        <v>1</v>
      </c>
      <c r="W286" t="b">
        <f t="shared" si="58"/>
        <v>1</v>
      </c>
      <c r="X286" t="b">
        <f t="shared" si="59"/>
        <v>1</v>
      </c>
      <c r="Y286" t="b">
        <f t="shared" si="60"/>
        <v>1</v>
      </c>
      <c r="Z286" t="b">
        <f t="shared" si="61"/>
        <v>1</v>
      </c>
      <c r="AA286" t="b">
        <f t="shared" si="62"/>
        <v>1</v>
      </c>
      <c r="AB286" t="b">
        <f t="shared" si="63"/>
        <v>0</v>
      </c>
      <c r="AC286" t="b">
        <f t="shared" si="64"/>
        <v>0</v>
      </c>
      <c r="AD286" t="b">
        <f t="shared" si="65"/>
        <v>0</v>
      </c>
      <c r="AE286" t="b">
        <f t="shared" si="66"/>
        <v>0</v>
      </c>
      <c r="AF286" t="b">
        <f t="shared" si="67"/>
        <v>0</v>
      </c>
      <c r="AG286" t="b">
        <f t="shared" si="68"/>
        <v>0</v>
      </c>
      <c r="AH286" t="b">
        <f t="shared" si="69"/>
        <v>0</v>
      </c>
    </row>
    <row r="287" spans="1:34" x14ac:dyDescent="0.2">
      <c r="A287" s="12" t="s">
        <v>363</v>
      </c>
      <c r="B287" s="12" t="s">
        <v>84</v>
      </c>
      <c r="C287" s="13" t="s">
        <v>44</v>
      </c>
      <c r="D287" s="18">
        <v>1</v>
      </c>
      <c r="E287" s="18">
        <v>0</v>
      </c>
      <c r="F287" s="18">
        <v>2</v>
      </c>
      <c r="G287" s="18">
        <v>2</v>
      </c>
      <c r="H287" s="18">
        <v>1</v>
      </c>
      <c r="I287" s="18">
        <v>2</v>
      </c>
      <c r="J287" s="19">
        <v>1</v>
      </c>
      <c r="K287" s="18">
        <v>2</v>
      </c>
      <c r="L287" s="18">
        <v>1</v>
      </c>
      <c r="M287" s="18">
        <v>1</v>
      </c>
      <c r="N287" s="18">
        <v>1</v>
      </c>
      <c r="O287" s="18">
        <v>2</v>
      </c>
      <c r="P287" s="18">
        <v>1</v>
      </c>
      <c r="Q287" s="17">
        <v>5</v>
      </c>
      <c r="R287">
        <v>7</v>
      </c>
      <c r="S287">
        <v>1</v>
      </c>
      <c r="T287">
        <v>0</v>
      </c>
      <c r="U287" s="14">
        <f t="shared" si="56"/>
        <v>13</v>
      </c>
      <c r="V287" t="b">
        <f t="shared" si="57"/>
        <v>1</v>
      </c>
      <c r="W287" t="b">
        <f t="shared" si="58"/>
        <v>1</v>
      </c>
      <c r="X287" t="b">
        <f t="shared" si="59"/>
        <v>1</v>
      </c>
      <c r="Y287" t="b">
        <f t="shared" si="60"/>
        <v>1</v>
      </c>
      <c r="Z287" t="b">
        <f t="shared" si="61"/>
        <v>1</v>
      </c>
      <c r="AA287" t="b">
        <f t="shared" si="62"/>
        <v>0</v>
      </c>
      <c r="AB287" t="b">
        <f t="shared" si="63"/>
        <v>0</v>
      </c>
      <c r="AC287" t="b">
        <f t="shared" si="64"/>
        <v>0</v>
      </c>
      <c r="AD287" t="b">
        <f t="shared" si="65"/>
        <v>0</v>
      </c>
      <c r="AE287" t="b">
        <f t="shared" si="66"/>
        <v>0</v>
      </c>
      <c r="AF287" t="b">
        <f t="shared" si="67"/>
        <v>0</v>
      </c>
      <c r="AG287" t="b">
        <f t="shared" si="68"/>
        <v>0</v>
      </c>
      <c r="AH287" t="b">
        <f t="shared" si="69"/>
        <v>0</v>
      </c>
    </row>
    <row r="288" spans="1:34" x14ac:dyDescent="0.2">
      <c r="A288" s="12" t="s">
        <v>364</v>
      </c>
      <c r="B288" s="12" t="s">
        <v>84</v>
      </c>
      <c r="C288" s="13" t="s">
        <v>44</v>
      </c>
      <c r="D288" s="18">
        <v>0</v>
      </c>
      <c r="E288" s="18">
        <v>2</v>
      </c>
      <c r="F288" s="18">
        <v>1</v>
      </c>
      <c r="G288" s="18">
        <v>2</v>
      </c>
      <c r="H288" s="18">
        <v>1</v>
      </c>
      <c r="I288" s="18">
        <v>2</v>
      </c>
      <c r="J288" s="19">
        <v>1</v>
      </c>
      <c r="K288" s="18">
        <v>2</v>
      </c>
      <c r="L288" s="18">
        <v>1</v>
      </c>
      <c r="M288" s="18">
        <v>0</v>
      </c>
      <c r="N288" s="18">
        <v>1</v>
      </c>
      <c r="O288" s="18">
        <v>2</v>
      </c>
      <c r="P288" s="18">
        <v>1</v>
      </c>
      <c r="Q288" s="17">
        <v>5</v>
      </c>
      <c r="R288">
        <v>6</v>
      </c>
      <c r="S288">
        <v>2</v>
      </c>
      <c r="T288">
        <v>0</v>
      </c>
      <c r="U288" s="14">
        <f t="shared" si="56"/>
        <v>13</v>
      </c>
      <c r="V288" t="b">
        <f t="shared" si="57"/>
        <v>1</v>
      </c>
      <c r="W288" t="b">
        <f t="shared" si="58"/>
        <v>1</v>
      </c>
      <c r="X288" t="b">
        <f t="shared" si="59"/>
        <v>1</v>
      </c>
      <c r="Y288" t="b">
        <f t="shared" si="60"/>
        <v>1</v>
      </c>
      <c r="Z288" t="b">
        <f t="shared" si="61"/>
        <v>1</v>
      </c>
      <c r="AA288" t="b">
        <f t="shared" si="62"/>
        <v>0</v>
      </c>
      <c r="AB288" t="b">
        <f t="shared" si="63"/>
        <v>0</v>
      </c>
      <c r="AC288" t="b">
        <f t="shared" si="64"/>
        <v>0</v>
      </c>
      <c r="AD288" t="b">
        <f t="shared" si="65"/>
        <v>0</v>
      </c>
      <c r="AE288" t="b">
        <f t="shared" si="66"/>
        <v>0</v>
      </c>
      <c r="AF288" t="b">
        <f t="shared" si="67"/>
        <v>0</v>
      </c>
      <c r="AG288" t="b">
        <f t="shared" si="68"/>
        <v>0</v>
      </c>
      <c r="AH288" t="b">
        <f t="shared" si="69"/>
        <v>0</v>
      </c>
    </row>
    <row r="289" spans="1:34" x14ac:dyDescent="0.2">
      <c r="A289" s="12" t="s">
        <v>365</v>
      </c>
      <c r="B289" s="12" t="s">
        <v>84</v>
      </c>
      <c r="C289" s="13" t="s">
        <v>44</v>
      </c>
      <c r="D289" s="18">
        <v>2</v>
      </c>
      <c r="E289" s="18">
        <v>2</v>
      </c>
      <c r="F289" s="18">
        <v>2</v>
      </c>
      <c r="G289" s="18">
        <v>2</v>
      </c>
      <c r="H289" s="18">
        <v>2</v>
      </c>
      <c r="I289" s="18">
        <v>2</v>
      </c>
      <c r="J289" s="19">
        <v>1</v>
      </c>
      <c r="K289" s="18">
        <v>2</v>
      </c>
      <c r="L289" s="18">
        <v>1</v>
      </c>
      <c r="M289" s="18">
        <v>2</v>
      </c>
      <c r="N289" s="18">
        <v>2</v>
      </c>
      <c r="O289" s="18">
        <v>2</v>
      </c>
      <c r="P289" s="18">
        <v>2</v>
      </c>
      <c r="Q289" s="17">
        <v>11</v>
      </c>
      <c r="R289">
        <v>2</v>
      </c>
      <c r="S289">
        <v>0</v>
      </c>
      <c r="T289">
        <v>0</v>
      </c>
      <c r="U289" s="14">
        <f t="shared" si="56"/>
        <v>13</v>
      </c>
      <c r="V289" t="b">
        <f t="shared" si="57"/>
        <v>1</v>
      </c>
      <c r="W289" t="b">
        <f t="shared" si="58"/>
        <v>1</v>
      </c>
      <c r="X289" t="b">
        <f t="shared" si="59"/>
        <v>1</v>
      </c>
      <c r="Y289" t="b">
        <f t="shared" si="60"/>
        <v>1</v>
      </c>
      <c r="Z289" t="b">
        <f t="shared" si="61"/>
        <v>1</v>
      </c>
      <c r="AA289" t="b">
        <f t="shared" si="62"/>
        <v>1</v>
      </c>
      <c r="AB289" t="b">
        <f t="shared" si="63"/>
        <v>1</v>
      </c>
      <c r="AC289" t="b">
        <f t="shared" si="64"/>
        <v>1</v>
      </c>
      <c r="AD289" t="b">
        <f t="shared" si="65"/>
        <v>1</v>
      </c>
      <c r="AE289" t="b">
        <f t="shared" si="66"/>
        <v>1</v>
      </c>
      <c r="AF289" t="b">
        <f t="shared" si="67"/>
        <v>1</v>
      </c>
      <c r="AG289" t="b">
        <f t="shared" si="68"/>
        <v>0</v>
      </c>
      <c r="AH289" t="b">
        <f t="shared" si="69"/>
        <v>0</v>
      </c>
    </row>
    <row r="290" spans="1:34" x14ac:dyDescent="0.2">
      <c r="A290" s="12" t="s">
        <v>188</v>
      </c>
      <c r="B290" s="12" t="s">
        <v>84</v>
      </c>
      <c r="C290" s="13" t="s">
        <v>44</v>
      </c>
      <c r="D290" s="18">
        <v>2</v>
      </c>
      <c r="E290" s="18">
        <v>2</v>
      </c>
      <c r="F290" s="18">
        <v>2</v>
      </c>
      <c r="G290" s="18">
        <v>2</v>
      </c>
      <c r="H290" s="18">
        <v>2</v>
      </c>
      <c r="I290" s="18">
        <v>2</v>
      </c>
      <c r="J290" s="19">
        <v>1</v>
      </c>
      <c r="K290" s="18">
        <v>2</v>
      </c>
      <c r="L290" s="18">
        <v>1</v>
      </c>
      <c r="M290" s="18">
        <v>2</v>
      </c>
      <c r="N290" s="18">
        <v>2</v>
      </c>
      <c r="O290" s="18">
        <v>2</v>
      </c>
      <c r="P290" s="18">
        <v>2</v>
      </c>
      <c r="Q290" s="17">
        <v>11</v>
      </c>
      <c r="R290">
        <v>2</v>
      </c>
      <c r="S290">
        <v>0</v>
      </c>
      <c r="T290">
        <v>0</v>
      </c>
      <c r="U290" s="14">
        <f t="shared" si="56"/>
        <v>13</v>
      </c>
      <c r="V290" t="b">
        <f t="shared" si="57"/>
        <v>1</v>
      </c>
      <c r="W290" t="b">
        <f t="shared" si="58"/>
        <v>1</v>
      </c>
      <c r="X290" t="b">
        <f t="shared" si="59"/>
        <v>1</v>
      </c>
      <c r="Y290" t="b">
        <f t="shared" si="60"/>
        <v>1</v>
      </c>
      <c r="Z290" t="b">
        <f t="shared" si="61"/>
        <v>1</v>
      </c>
      <c r="AA290" t="b">
        <f t="shared" si="62"/>
        <v>1</v>
      </c>
      <c r="AB290" t="b">
        <f t="shared" si="63"/>
        <v>1</v>
      </c>
      <c r="AC290" t="b">
        <f t="shared" si="64"/>
        <v>1</v>
      </c>
      <c r="AD290" t="b">
        <f t="shared" si="65"/>
        <v>1</v>
      </c>
      <c r="AE290" t="b">
        <f t="shared" si="66"/>
        <v>1</v>
      </c>
      <c r="AF290" t="b">
        <f t="shared" si="67"/>
        <v>1</v>
      </c>
      <c r="AG290" t="b">
        <f t="shared" si="68"/>
        <v>0</v>
      </c>
      <c r="AH290" t="b">
        <f t="shared" si="69"/>
        <v>0</v>
      </c>
    </row>
    <row r="291" spans="1:34" x14ac:dyDescent="0.2">
      <c r="A291" s="12" t="s">
        <v>366</v>
      </c>
      <c r="B291" s="12" t="s">
        <v>92</v>
      </c>
      <c r="C291" s="13" t="s">
        <v>92</v>
      </c>
      <c r="D291" s="18">
        <v>1</v>
      </c>
      <c r="E291" s="18">
        <v>2</v>
      </c>
      <c r="F291" s="18">
        <v>1</v>
      </c>
      <c r="G291" s="18">
        <v>2</v>
      </c>
      <c r="H291" s="18">
        <v>2</v>
      </c>
      <c r="I291" s="18">
        <v>2</v>
      </c>
      <c r="J291" s="19">
        <v>1</v>
      </c>
      <c r="K291" s="18">
        <v>0</v>
      </c>
      <c r="L291" s="18">
        <v>2</v>
      </c>
      <c r="M291" s="18">
        <v>1</v>
      </c>
      <c r="N291" s="18"/>
      <c r="O291" s="18">
        <v>2</v>
      </c>
      <c r="P291" s="18">
        <v>1</v>
      </c>
      <c r="Q291" s="17">
        <v>6</v>
      </c>
      <c r="R291">
        <v>5</v>
      </c>
      <c r="S291">
        <v>1</v>
      </c>
      <c r="T291">
        <v>1</v>
      </c>
      <c r="U291" s="14">
        <f t="shared" si="56"/>
        <v>13</v>
      </c>
      <c r="V291" t="b">
        <f t="shared" si="57"/>
        <v>1</v>
      </c>
      <c r="W291" t="b">
        <f t="shared" si="58"/>
        <v>1</v>
      </c>
      <c r="X291" t="b">
        <f t="shared" si="59"/>
        <v>1</v>
      </c>
      <c r="Y291" t="b">
        <f t="shared" si="60"/>
        <v>1</v>
      </c>
      <c r="Z291" t="b">
        <f t="shared" si="61"/>
        <v>1</v>
      </c>
      <c r="AA291" t="b">
        <f t="shared" si="62"/>
        <v>1</v>
      </c>
      <c r="AB291" t="b">
        <f t="shared" si="63"/>
        <v>0</v>
      </c>
      <c r="AC291" t="b">
        <f t="shared" si="64"/>
        <v>0</v>
      </c>
      <c r="AD291" t="b">
        <f t="shared" si="65"/>
        <v>0</v>
      </c>
      <c r="AE291" t="b">
        <f t="shared" si="66"/>
        <v>0</v>
      </c>
      <c r="AF291" t="b">
        <f t="shared" si="67"/>
        <v>0</v>
      </c>
      <c r="AG291" t="b">
        <f t="shared" si="68"/>
        <v>0</v>
      </c>
      <c r="AH291" t="b">
        <f t="shared" si="69"/>
        <v>0</v>
      </c>
    </row>
    <row r="292" spans="1:34" x14ac:dyDescent="0.2">
      <c r="A292" s="12" t="s">
        <v>367</v>
      </c>
      <c r="B292" s="12" t="s">
        <v>92</v>
      </c>
      <c r="C292" s="13" t="s">
        <v>92</v>
      </c>
      <c r="D292" s="18"/>
      <c r="E292" s="18">
        <v>1</v>
      </c>
      <c r="F292" s="18">
        <v>1</v>
      </c>
      <c r="G292" s="18">
        <v>0</v>
      </c>
      <c r="H292" s="18">
        <v>0</v>
      </c>
      <c r="I292" s="18">
        <v>0</v>
      </c>
      <c r="J292" s="19">
        <v>1</v>
      </c>
      <c r="K292" s="18">
        <v>0</v>
      </c>
      <c r="L292" s="18"/>
      <c r="M292" s="18">
        <v>2</v>
      </c>
      <c r="N292" s="18"/>
      <c r="O292" s="18">
        <v>2</v>
      </c>
      <c r="P292" s="18">
        <v>0</v>
      </c>
      <c r="Q292" s="17">
        <v>2</v>
      </c>
      <c r="R292">
        <v>3</v>
      </c>
      <c r="S292">
        <v>5</v>
      </c>
      <c r="T292">
        <v>3</v>
      </c>
      <c r="U292" s="14">
        <f t="shared" si="56"/>
        <v>13</v>
      </c>
      <c r="V292" t="b">
        <f t="shared" si="57"/>
        <v>1</v>
      </c>
      <c r="W292" t="b">
        <f t="shared" si="58"/>
        <v>1</v>
      </c>
      <c r="X292" t="b">
        <f t="shared" si="59"/>
        <v>0</v>
      </c>
      <c r="Y292" t="b">
        <f t="shared" si="60"/>
        <v>0</v>
      </c>
      <c r="Z292" t="b">
        <f t="shared" si="61"/>
        <v>0</v>
      </c>
      <c r="AA292" t="b">
        <f t="shared" si="62"/>
        <v>0</v>
      </c>
      <c r="AB292" t="b">
        <f t="shared" si="63"/>
        <v>0</v>
      </c>
      <c r="AC292" t="b">
        <f t="shared" si="64"/>
        <v>0</v>
      </c>
      <c r="AD292" t="b">
        <f t="shared" si="65"/>
        <v>0</v>
      </c>
      <c r="AE292" t="b">
        <f t="shared" si="66"/>
        <v>0</v>
      </c>
      <c r="AF292" t="b">
        <f t="shared" si="67"/>
        <v>0</v>
      </c>
      <c r="AG292" t="b">
        <f t="shared" si="68"/>
        <v>0</v>
      </c>
      <c r="AH292" t="b">
        <f t="shared" si="69"/>
        <v>0</v>
      </c>
    </row>
    <row r="293" spans="1:34" x14ac:dyDescent="0.2">
      <c r="A293" s="12" t="s">
        <v>79</v>
      </c>
      <c r="B293" s="12" t="s">
        <v>92</v>
      </c>
      <c r="C293" s="13" t="s">
        <v>92</v>
      </c>
      <c r="D293" s="18">
        <v>2</v>
      </c>
      <c r="E293" s="18">
        <v>2</v>
      </c>
      <c r="F293" s="18">
        <v>2</v>
      </c>
      <c r="G293" s="18">
        <v>2</v>
      </c>
      <c r="H293" s="18">
        <v>2</v>
      </c>
      <c r="I293" s="18">
        <v>1</v>
      </c>
      <c r="J293" s="19">
        <v>2</v>
      </c>
      <c r="K293" s="18">
        <v>2</v>
      </c>
      <c r="L293" s="18">
        <v>1</v>
      </c>
      <c r="M293" s="18">
        <v>2</v>
      </c>
      <c r="N293" s="18">
        <v>2</v>
      </c>
      <c r="O293" s="18">
        <v>2</v>
      </c>
      <c r="P293" s="18">
        <v>2</v>
      </c>
      <c r="Q293" s="17">
        <v>11</v>
      </c>
      <c r="R293">
        <v>2</v>
      </c>
      <c r="S293">
        <v>0</v>
      </c>
      <c r="T293">
        <v>0</v>
      </c>
      <c r="U293" s="14">
        <f t="shared" si="56"/>
        <v>13</v>
      </c>
      <c r="V293" t="b">
        <f t="shared" si="57"/>
        <v>1</v>
      </c>
      <c r="W293" t="b">
        <f t="shared" si="58"/>
        <v>1</v>
      </c>
      <c r="X293" t="b">
        <f t="shared" si="59"/>
        <v>1</v>
      </c>
      <c r="Y293" t="b">
        <f t="shared" si="60"/>
        <v>1</v>
      </c>
      <c r="Z293" t="b">
        <f t="shared" si="61"/>
        <v>1</v>
      </c>
      <c r="AA293" t="b">
        <f t="shared" si="62"/>
        <v>1</v>
      </c>
      <c r="AB293" t="b">
        <f t="shared" si="63"/>
        <v>1</v>
      </c>
      <c r="AC293" t="b">
        <f t="shared" si="64"/>
        <v>1</v>
      </c>
      <c r="AD293" t="b">
        <f t="shared" si="65"/>
        <v>1</v>
      </c>
      <c r="AE293" t="b">
        <f t="shared" si="66"/>
        <v>1</v>
      </c>
      <c r="AF293" t="b">
        <f t="shared" si="67"/>
        <v>1</v>
      </c>
      <c r="AG293" t="b">
        <f t="shared" si="68"/>
        <v>0</v>
      </c>
      <c r="AH293" t="b">
        <f t="shared" si="69"/>
        <v>0</v>
      </c>
    </row>
    <row r="294" spans="1:34" x14ac:dyDescent="0.2">
      <c r="A294" s="12" t="s">
        <v>368</v>
      </c>
      <c r="B294" s="12" t="s">
        <v>92</v>
      </c>
      <c r="C294" s="13" t="s">
        <v>92</v>
      </c>
      <c r="D294" s="18">
        <v>1</v>
      </c>
      <c r="E294" s="18">
        <v>2</v>
      </c>
      <c r="F294" s="18">
        <v>2</v>
      </c>
      <c r="G294" s="18">
        <v>2</v>
      </c>
      <c r="H294" s="18">
        <v>2</v>
      </c>
      <c r="I294" s="18">
        <v>1</v>
      </c>
      <c r="J294" s="19">
        <v>1</v>
      </c>
      <c r="K294" s="18">
        <v>1</v>
      </c>
      <c r="L294" s="18">
        <v>2</v>
      </c>
      <c r="M294" s="18">
        <v>2</v>
      </c>
      <c r="N294" s="18">
        <v>0</v>
      </c>
      <c r="O294" s="18">
        <v>2</v>
      </c>
      <c r="P294" s="18">
        <v>1</v>
      </c>
      <c r="Q294" s="17">
        <v>7</v>
      </c>
      <c r="R294">
        <v>5</v>
      </c>
      <c r="S294">
        <v>1</v>
      </c>
      <c r="T294">
        <v>0</v>
      </c>
      <c r="U294" s="14">
        <f t="shared" si="56"/>
        <v>13</v>
      </c>
      <c r="V294" t="b">
        <f t="shared" si="57"/>
        <v>1</v>
      </c>
      <c r="W294" t="b">
        <f t="shared" si="58"/>
        <v>1</v>
      </c>
      <c r="X294" t="b">
        <f t="shared" si="59"/>
        <v>1</v>
      </c>
      <c r="Y294" t="b">
        <f t="shared" si="60"/>
        <v>1</v>
      </c>
      <c r="Z294" t="b">
        <f t="shared" si="61"/>
        <v>1</v>
      </c>
      <c r="AA294" t="b">
        <f t="shared" si="62"/>
        <v>1</v>
      </c>
      <c r="AB294" t="b">
        <f t="shared" si="63"/>
        <v>1</v>
      </c>
      <c r="AC294" t="b">
        <f t="shared" si="64"/>
        <v>0</v>
      </c>
      <c r="AD294" t="b">
        <f t="shared" si="65"/>
        <v>0</v>
      </c>
      <c r="AE294" t="b">
        <f t="shared" si="66"/>
        <v>0</v>
      </c>
      <c r="AF294" t="b">
        <f t="shared" si="67"/>
        <v>0</v>
      </c>
      <c r="AG294" t="b">
        <f t="shared" si="68"/>
        <v>0</v>
      </c>
      <c r="AH294" t="b">
        <f t="shared" si="69"/>
        <v>0</v>
      </c>
    </row>
    <row r="295" spans="1:34" x14ac:dyDescent="0.2">
      <c r="A295" s="12" t="s">
        <v>369</v>
      </c>
      <c r="B295" s="12" t="s">
        <v>92</v>
      </c>
      <c r="C295" s="13" t="s">
        <v>92</v>
      </c>
      <c r="D295" s="18"/>
      <c r="E295" s="18">
        <v>2</v>
      </c>
      <c r="F295" s="18">
        <v>2</v>
      </c>
      <c r="G295" s="18">
        <v>0</v>
      </c>
      <c r="H295" s="18">
        <v>0</v>
      </c>
      <c r="I295" s="18">
        <v>1</v>
      </c>
      <c r="J295" s="19">
        <v>1</v>
      </c>
      <c r="K295" s="18"/>
      <c r="L295" s="18"/>
      <c r="M295" s="18">
        <v>2</v>
      </c>
      <c r="N295" s="18">
        <v>0</v>
      </c>
      <c r="O295" s="18"/>
      <c r="P295" s="18">
        <v>0</v>
      </c>
      <c r="Q295" s="17">
        <v>3</v>
      </c>
      <c r="R295">
        <v>2</v>
      </c>
      <c r="S295">
        <v>4</v>
      </c>
      <c r="T295">
        <v>4</v>
      </c>
      <c r="U295" s="14">
        <f t="shared" si="56"/>
        <v>13</v>
      </c>
      <c r="V295" t="b">
        <f t="shared" si="57"/>
        <v>1</v>
      </c>
      <c r="W295" t="b">
        <f t="shared" si="58"/>
        <v>1</v>
      </c>
      <c r="X295" t="b">
        <f t="shared" si="59"/>
        <v>1</v>
      </c>
      <c r="Y295" t="b">
        <f t="shared" si="60"/>
        <v>0</v>
      </c>
      <c r="Z295" t="b">
        <f t="shared" si="61"/>
        <v>0</v>
      </c>
      <c r="AA295" t="b">
        <f t="shared" si="62"/>
        <v>0</v>
      </c>
      <c r="AB295" t="b">
        <f t="shared" si="63"/>
        <v>0</v>
      </c>
      <c r="AC295" t="b">
        <f t="shared" si="64"/>
        <v>0</v>
      </c>
      <c r="AD295" t="b">
        <f t="shared" si="65"/>
        <v>0</v>
      </c>
      <c r="AE295" t="b">
        <f t="shared" si="66"/>
        <v>0</v>
      </c>
      <c r="AF295" t="b">
        <f t="shared" si="67"/>
        <v>0</v>
      </c>
      <c r="AG295" t="b">
        <f t="shared" si="68"/>
        <v>0</v>
      </c>
      <c r="AH295" t="b">
        <f t="shared" si="69"/>
        <v>0</v>
      </c>
    </row>
    <row r="296" spans="1:34" x14ac:dyDescent="0.2">
      <c r="A296" s="12" t="s">
        <v>303</v>
      </c>
      <c r="B296" s="12" t="s">
        <v>370</v>
      </c>
      <c r="C296" s="13" t="s">
        <v>96</v>
      </c>
      <c r="D296" s="18">
        <v>1</v>
      </c>
      <c r="E296" s="18">
        <v>2</v>
      </c>
      <c r="F296" s="18">
        <v>2</v>
      </c>
      <c r="G296" s="18">
        <v>2</v>
      </c>
      <c r="H296" s="18">
        <v>1</v>
      </c>
      <c r="I296" s="18">
        <v>2</v>
      </c>
      <c r="J296" s="19">
        <v>1</v>
      </c>
      <c r="K296" s="18">
        <v>2</v>
      </c>
      <c r="L296" s="18">
        <v>1</v>
      </c>
      <c r="M296" s="18">
        <v>2</v>
      </c>
      <c r="N296" s="18">
        <v>1</v>
      </c>
      <c r="O296" s="18">
        <v>2</v>
      </c>
      <c r="P296" s="18">
        <v>2</v>
      </c>
      <c r="Q296" s="17">
        <v>8</v>
      </c>
      <c r="R296">
        <v>5</v>
      </c>
      <c r="S296">
        <v>0</v>
      </c>
      <c r="T296">
        <v>0</v>
      </c>
      <c r="U296" s="14">
        <f t="shared" si="56"/>
        <v>13</v>
      </c>
      <c r="V296" t="b">
        <f t="shared" si="57"/>
        <v>1</v>
      </c>
      <c r="W296" t="b">
        <f t="shared" si="58"/>
        <v>1</v>
      </c>
      <c r="X296" t="b">
        <f t="shared" si="59"/>
        <v>1</v>
      </c>
      <c r="Y296" t="b">
        <f t="shared" si="60"/>
        <v>1</v>
      </c>
      <c r="Z296" t="b">
        <f t="shared" si="61"/>
        <v>1</v>
      </c>
      <c r="AA296" t="b">
        <f t="shared" si="62"/>
        <v>1</v>
      </c>
      <c r="AB296" t="b">
        <f t="shared" si="63"/>
        <v>1</v>
      </c>
      <c r="AC296" t="b">
        <f t="shared" si="64"/>
        <v>1</v>
      </c>
      <c r="AD296" t="b">
        <f t="shared" si="65"/>
        <v>0</v>
      </c>
      <c r="AE296" t="b">
        <f t="shared" si="66"/>
        <v>0</v>
      </c>
      <c r="AF296" t="b">
        <f t="shared" si="67"/>
        <v>0</v>
      </c>
      <c r="AG296" t="b">
        <f t="shared" si="68"/>
        <v>0</v>
      </c>
      <c r="AH296" t="b">
        <f t="shared" si="69"/>
        <v>0</v>
      </c>
    </row>
    <row r="297" spans="1:34" x14ac:dyDescent="0.2">
      <c r="A297" s="12" t="s">
        <v>197</v>
      </c>
      <c r="B297" s="12" t="s">
        <v>370</v>
      </c>
      <c r="C297" s="13" t="s">
        <v>96</v>
      </c>
      <c r="D297" s="18">
        <v>1</v>
      </c>
      <c r="E297" s="18">
        <v>2</v>
      </c>
      <c r="F297" s="18">
        <v>2</v>
      </c>
      <c r="G297" s="18">
        <v>2</v>
      </c>
      <c r="H297" s="18">
        <v>1</v>
      </c>
      <c r="I297" s="18">
        <v>2</v>
      </c>
      <c r="J297" s="19">
        <v>1</v>
      </c>
      <c r="K297" s="18">
        <v>2</v>
      </c>
      <c r="L297" s="18">
        <v>1</v>
      </c>
      <c r="M297" s="18">
        <v>2</v>
      </c>
      <c r="N297" s="18">
        <v>0</v>
      </c>
      <c r="O297" s="18">
        <v>2</v>
      </c>
      <c r="P297" s="18">
        <v>0</v>
      </c>
      <c r="Q297" s="17">
        <v>7</v>
      </c>
      <c r="R297">
        <v>4</v>
      </c>
      <c r="S297">
        <v>2</v>
      </c>
      <c r="T297">
        <v>0</v>
      </c>
      <c r="U297" s="14">
        <f t="shared" si="56"/>
        <v>13</v>
      </c>
      <c r="V297" t="b">
        <f t="shared" si="57"/>
        <v>1</v>
      </c>
      <c r="W297" t="b">
        <f t="shared" si="58"/>
        <v>1</v>
      </c>
      <c r="X297" t="b">
        <f t="shared" si="59"/>
        <v>1</v>
      </c>
      <c r="Y297" t="b">
        <f t="shared" si="60"/>
        <v>1</v>
      </c>
      <c r="Z297" t="b">
        <f t="shared" si="61"/>
        <v>1</v>
      </c>
      <c r="AA297" t="b">
        <f t="shared" si="62"/>
        <v>1</v>
      </c>
      <c r="AB297" t="b">
        <f t="shared" si="63"/>
        <v>1</v>
      </c>
      <c r="AC297" t="b">
        <f t="shared" si="64"/>
        <v>0</v>
      </c>
      <c r="AD297" t="b">
        <f t="shared" si="65"/>
        <v>0</v>
      </c>
      <c r="AE297" t="b">
        <f t="shared" si="66"/>
        <v>0</v>
      </c>
      <c r="AF297" t="b">
        <f t="shared" si="67"/>
        <v>0</v>
      </c>
      <c r="AG297" t="b">
        <f t="shared" si="68"/>
        <v>0</v>
      </c>
      <c r="AH297" t="b">
        <f t="shared" si="69"/>
        <v>0</v>
      </c>
    </row>
    <row r="298" spans="1:34" x14ac:dyDescent="0.2">
      <c r="A298" s="12" t="s">
        <v>371</v>
      </c>
      <c r="B298" s="12" t="s">
        <v>98</v>
      </c>
      <c r="C298" s="13" t="s">
        <v>98</v>
      </c>
      <c r="D298" s="18">
        <v>2</v>
      </c>
      <c r="E298" s="18">
        <v>2</v>
      </c>
      <c r="F298" s="18">
        <v>2</v>
      </c>
      <c r="G298" s="18">
        <v>2</v>
      </c>
      <c r="H298" s="18">
        <v>2</v>
      </c>
      <c r="I298" s="18">
        <v>2</v>
      </c>
      <c r="J298" s="19">
        <v>1</v>
      </c>
      <c r="K298" s="18">
        <v>2</v>
      </c>
      <c r="L298" s="18">
        <v>1</v>
      </c>
      <c r="M298" s="18">
        <v>2</v>
      </c>
      <c r="N298" s="18">
        <v>1</v>
      </c>
      <c r="O298" s="18">
        <v>2</v>
      </c>
      <c r="P298" s="18">
        <v>2</v>
      </c>
      <c r="Q298" s="17">
        <v>10</v>
      </c>
      <c r="R298">
        <v>3</v>
      </c>
      <c r="S298">
        <v>0</v>
      </c>
      <c r="T298">
        <v>0</v>
      </c>
      <c r="U298" s="14">
        <f t="shared" si="56"/>
        <v>13</v>
      </c>
      <c r="V298" t="b">
        <f t="shared" si="57"/>
        <v>1</v>
      </c>
      <c r="W298" t="b">
        <f t="shared" si="58"/>
        <v>1</v>
      </c>
      <c r="X298" t="b">
        <f t="shared" si="59"/>
        <v>1</v>
      </c>
      <c r="Y298" t="b">
        <f t="shared" si="60"/>
        <v>1</v>
      </c>
      <c r="Z298" t="b">
        <f t="shared" si="61"/>
        <v>1</v>
      </c>
      <c r="AA298" t="b">
        <f t="shared" si="62"/>
        <v>1</v>
      </c>
      <c r="AB298" t="b">
        <f t="shared" si="63"/>
        <v>1</v>
      </c>
      <c r="AC298" t="b">
        <f t="shared" si="64"/>
        <v>1</v>
      </c>
      <c r="AD298" t="b">
        <f t="shared" si="65"/>
        <v>1</v>
      </c>
      <c r="AE298" t="b">
        <f t="shared" si="66"/>
        <v>1</v>
      </c>
      <c r="AF298" t="b">
        <f t="shared" si="67"/>
        <v>0</v>
      </c>
      <c r="AG298" t="b">
        <f t="shared" si="68"/>
        <v>0</v>
      </c>
      <c r="AH298" t="b">
        <f t="shared" si="69"/>
        <v>0</v>
      </c>
    </row>
    <row r="299" spans="1:34" x14ac:dyDescent="0.2">
      <c r="A299" s="12" t="s">
        <v>372</v>
      </c>
      <c r="B299" s="12" t="s">
        <v>98</v>
      </c>
      <c r="C299" s="13" t="s">
        <v>98</v>
      </c>
      <c r="D299" s="18">
        <v>2</v>
      </c>
      <c r="E299" s="18">
        <v>1</v>
      </c>
      <c r="F299" s="18">
        <v>2</v>
      </c>
      <c r="G299" s="18">
        <v>2</v>
      </c>
      <c r="H299" s="18">
        <v>2</v>
      </c>
      <c r="I299" s="18">
        <v>2</v>
      </c>
      <c r="J299" s="19">
        <v>2</v>
      </c>
      <c r="K299" s="18">
        <v>2</v>
      </c>
      <c r="L299" s="18">
        <v>1</v>
      </c>
      <c r="M299" s="18">
        <v>2</v>
      </c>
      <c r="N299" s="18">
        <v>1</v>
      </c>
      <c r="O299" s="18">
        <v>2</v>
      </c>
      <c r="P299" s="18">
        <v>2</v>
      </c>
      <c r="Q299" s="17">
        <v>10</v>
      </c>
      <c r="R299">
        <v>3</v>
      </c>
      <c r="S299">
        <v>0</v>
      </c>
      <c r="T299">
        <v>0</v>
      </c>
      <c r="U299" s="14">
        <f t="shared" si="56"/>
        <v>13</v>
      </c>
      <c r="V299" t="b">
        <f t="shared" si="57"/>
        <v>1</v>
      </c>
      <c r="W299" t="b">
        <f t="shared" si="58"/>
        <v>1</v>
      </c>
      <c r="X299" t="b">
        <f t="shared" si="59"/>
        <v>1</v>
      </c>
      <c r="Y299" t="b">
        <f t="shared" si="60"/>
        <v>1</v>
      </c>
      <c r="Z299" t="b">
        <f t="shared" si="61"/>
        <v>1</v>
      </c>
      <c r="AA299" t="b">
        <f t="shared" si="62"/>
        <v>1</v>
      </c>
      <c r="AB299" t="b">
        <f t="shared" si="63"/>
        <v>1</v>
      </c>
      <c r="AC299" t="b">
        <f t="shared" si="64"/>
        <v>1</v>
      </c>
      <c r="AD299" t="b">
        <f t="shared" si="65"/>
        <v>1</v>
      </c>
      <c r="AE299" t="b">
        <f t="shared" si="66"/>
        <v>1</v>
      </c>
      <c r="AF299" t="b">
        <f t="shared" si="67"/>
        <v>0</v>
      </c>
      <c r="AG299" t="b">
        <f t="shared" si="68"/>
        <v>0</v>
      </c>
      <c r="AH299" t="b">
        <f t="shared" si="69"/>
        <v>0</v>
      </c>
    </row>
    <row r="300" spans="1:34" x14ac:dyDescent="0.2">
      <c r="A300" s="12" t="s">
        <v>373</v>
      </c>
      <c r="B300" s="12" t="s">
        <v>98</v>
      </c>
      <c r="C300" s="13" t="s">
        <v>98</v>
      </c>
      <c r="D300" s="18">
        <v>2</v>
      </c>
      <c r="E300" s="18">
        <v>1</v>
      </c>
      <c r="F300" s="18">
        <v>2</v>
      </c>
      <c r="G300" s="18">
        <v>2</v>
      </c>
      <c r="H300" s="18">
        <v>2</v>
      </c>
      <c r="I300" s="18">
        <v>2</v>
      </c>
      <c r="J300" s="19">
        <v>1</v>
      </c>
      <c r="K300" s="18">
        <v>2</v>
      </c>
      <c r="L300" s="18">
        <v>1</v>
      </c>
      <c r="M300" s="18">
        <v>1</v>
      </c>
      <c r="N300" s="18">
        <v>1</v>
      </c>
      <c r="O300" s="18">
        <v>2</v>
      </c>
      <c r="P300" s="18">
        <v>2</v>
      </c>
      <c r="Q300" s="17">
        <v>8</v>
      </c>
      <c r="R300">
        <v>5</v>
      </c>
      <c r="S300">
        <v>0</v>
      </c>
      <c r="T300">
        <v>0</v>
      </c>
      <c r="U300" s="14">
        <f t="shared" si="56"/>
        <v>13</v>
      </c>
      <c r="V300" t="b">
        <f t="shared" si="57"/>
        <v>1</v>
      </c>
      <c r="W300" t="b">
        <f t="shared" si="58"/>
        <v>1</v>
      </c>
      <c r="X300" t="b">
        <f t="shared" si="59"/>
        <v>1</v>
      </c>
      <c r="Y300" t="b">
        <f t="shared" si="60"/>
        <v>1</v>
      </c>
      <c r="Z300" t="b">
        <f t="shared" si="61"/>
        <v>1</v>
      </c>
      <c r="AA300" t="b">
        <f t="shared" si="62"/>
        <v>1</v>
      </c>
      <c r="AB300" t="b">
        <f t="shared" si="63"/>
        <v>1</v>
      </c>
      <c r="AC300" t="b">
        <f t="shared" si="64"/>
        <v>1</v>
      </c>
      <c r="AD300" t="b">
        <f t="shared" si="65"/>
        <v>0</v>
      </c>
      <c r="AE300" t="b">
        <f t="shared" si="66"/>
        <v>0</v>
      </c>
      <c r="AF300" t="b">
        <f t="shared" si="67"/>
        <v>0</v>
      </c>
      <c r="AG300" t="b">
        <f t="shared" si="68"/>
        <v>0</v>
      </c>
      <c r="AH300" t="b">
        <f t="shared" si="69"/>
        <v>0</v>
      </c>
    </row>
    <row r="301" spans="1:34" x14ac:dyDescent="0.2">
      <c r="Q301" s="7">
        <f t="shared" ref="Q301:U301" si="70">SUM(Q3:Q300)</f>
        <v>1489</v>
      </c>
      <c r="R301">
        <f t="shared" si="70"/>
        <v>1131</v>
      </c>
      <c r="S301">
        <f t="shared" si="70"/>
        <v>1104</v>
      </c>
      <c r="T301">
        <f t="shared" si="70"/>
        <v>150</v>
      </c>
      <c r="U301" s="1">
        <f t="shared" si="70"/>
        <v>3874</v>
      </c>
      <c r="V301">
        <f>COUNTIF(V3:V300,TRUE)</f>
        <v>284</v>
      </c>
      <c r="W301">
        <f t="shared" ref="W301:AC301" si="71">COUNTIF(W3:W300,TRUE)</f>
        <v>253</v>
      </c>
      <c r="X301">
        <f t="shared" si="71"/>
        <v>222</v>
      </c>
      <c r="Y301">
        <f t="shared" si="71"/>
        <v>198</v>
      </c>
      <c r="Z301">
        <f t="shared" si="71"/>
        <v>159</v>
      </c>
      <c r="AA301">
        <f t="shared" si="71"/>
        <v>116</v>
      </c>
      <c r="AB301">
        <f t="shared" si="71"/>
        <v>85</v>
      </c>
      <c r="AC301">
        <f t="shared" si="71"/>
        <v>67</v>
      </c>
      <c r="AD301">
        <f t="shared" ref="AD301" si="72">COUNTIF(AD3:AD300,TRUE)</f>
        <v>53</v>
      </c>
      <c r="AE301">
        <f t="shared" ref="AE301" si="73">COUNTIF(AE3:AE300,TRUE)</f>
        <v>35</v>
      </c>
      <c r="AF301">
        <f t="shared" ref="AF301" si="74">COUNTIF(AF3:AF300,TRUE)</f>
        <v>15</v>
      </c>
      <c r="AG301">
        <f t="shared" ref="AG301" si="75">COUNTIF(AG3:AG300,TRUE)</f>
        <v>2</v>
      </c>
      <c r="AH301">
        <f t="shared" ref="AH301" si="76">COUNTIF(AH3:AH300,TRUE)</f>
        <v>0</v>
      </c>
    </row>
    <row r="302" spans="1:34" x14ac:dyDescent="0.2">
      <c r="Q302" s="7">
        <f>Q301/$U$301</f>
        <v>0.38435725348477029</v>
      </c>
      <c r="R302" s="7">
        <f t="shared" ref="R302:T302" si="77">R301/$U$301</f>
        <v>0.29194630872483224</v>
      </c>
      <c r="S302" s="7">
        <f t="shared" si="77"/>
        <v>0.28497676819824469</v>
      </c>
      <c r="T302" s="7">
        <f t="shared" si="77"/>
        <v>3.8719669592152811E-2</v>
      </c>
      <c r="V302" s="7">
        <f>V301/298</f>
        <v>0.95302013422818788</v>
      </c>
      <c r="W302" s="7">
        <f t="shared" ref="W302:AC302" si="78">W301/298</f>
        <v>0.84899328859060408</v>
      </c>
      <c r="X302" s="7">
        <f t="shared" si="78"/>
        <v>0.74496644295302017</v>
      </c>
      <c r="Y302" s="7">
        <f t="shared" si="78"/>
        <v>0.66442953020134232</v>
      </c>
      <c r="Z302" s="7">
        <f t="shared" si="78"/>
        <v>0.53355704697986572</v>
      </c>
      <c r="AA302" s="7">
        <f t="shared" si="78"/>
        <v>0.38926174496644295</v>
      </c>
      <c r="AB302" s="7">
        <f t="shared" si="78"/>
        <v>0.28523489932885904</v>
      </c>
      <c r="AC302" s="7">
        <f t="shared" si="78"/>
        <v>0.22483221476510068</v>
      </c>
      <c r="AD302" s="7">
        <f t="shared" ref="AD302" si="79">AD301/298</f>
        <v>0.17785234899328858</v>
      </c>
      <c r="AE302" s="7">
        <f t="shared" ref="AE302" si="80">AE301/298</f>
        <v>0.1174496644295302</v>
      </c>
      <c r="AF302" s="7">
        <f t="shared" ref="AF302" si="81">AF301/298</f>
        <v>5.0335570469798654E-2</v>
      </c>
      <c r="AG302" s="7">
        <f t="shared" ref="AG302" si="82">AG301/298</f>
        <v>6.7114093959731542E-3</v>
      </c>
      <c r="AH302" s="7">
        <f t="shared" ref="AH302" si="83">AH301/298</f>
        <v>0</v>
      </c>
    </row>
  </sheetData>
  <mergeCells count="1">
    <mergeCell ref="D1:P1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3"/>
  <sheetViews>
    <sheetView workbookViewId="0">
      <selection activeCell="O26" sqref="O26"/>
    </sheetView>
  </sheetViews>
  <sheetFormatPr defaultColWidth="8.75" defaultRowHeight="14.25" x14ac:dyDescent="0.2"/>
  <cols>
    <col min="1" max="1" width="18.125" customWidth="1"/>
    <col min="2" max="2" width="16.625" customWidth="1"/>
    <col min="3" max="3" width="20.375" customWidth="1"/>
    <col min="4" max="8" width="22.375" customWidth="1"/>
  </cols>
  <sheetData>
    <row r="1" spans="1:9" x14ac:dyDescent="0.2">
      <c r="B1" t="s">
        <v>374</v>
      </c>
      <c r="C1" t="s">
        <v>375</v>
      </c>
      <c r="D1" t="s">
        <v>376</v>
      </c>
      <c r="E1" t="s">
        <v>377</v>
      </c>
      <c r="F1" t="s">
        <v>378</v>
      </c>
      <c r="G1" t="s">
        <v>379</v>
      </c>
      <c r="H1" t="s">
        <v>380</v>
      </c>
      <c r="I1" t="s">
        <v>381</v>
      </c>
    </row>
    <row r="2" spans="1:9" x14ac:dyDescent="0.2">
      <c r="A2" t="s">
        <v>382</v>
      </c>
      <c r="B2">
        <v>90</v>
      </c>
      <c r="C2">
        <v>80</v>
      </c>
      <c r="D2">
        <v>60</v>
      </c>
      <c r="E2">
        <v>45</v>
      </c>
      <c r="F2">
        <v>33</v>
      </c>
      <c r="G2">
        <v>18</v>
      </c>
      <c r="H2">
        <v>6</v>
      </c>
      <c r="I2">
        <v>1</v>
      </c>
    </row>
    <row r="3" spans="1:9" x14ac:dyDescent="0.2">
      <c r="A3" t="s">
        <v>383</v>
      </c>
      <c r="B3">
        <v>104</v>
      </c>
      <c r="C3">
        <v>91</v>
      </c>
      <c r="D3">
        <v>74</v>
      </c>
      <c r="E3">
        <v>53</v>
      </c>
      <c r="F3">
        <v>31</v>
      </c>
      <c r="G3">
        <v>17</v>
      </c>
      <c r="H3">
        <v>9</v>
      </c>
      <c r="I3">
        <v>3</v>
      </c>
    </row>
    <row r="4" spans="1:9" x14ac:dyDescent="0.2">
      <c r="A4" t="s">
        <v>384</v>
      </c>
      <c r="B4">
        <v>80</v>
      </c>
      <c r="C4">
        <v>77</v>
      </c>
      <c r="D4">
        <v>69</v>
      </c>
      <c r="E4">
        <v>55</v>
      </c>
      <c r="F4">
        <v>34</v>
      </c>
      <c r="G4">
        <v>19</v>
      </c>
      <c r="H4">
        <v>8</v>
      </c>
      <c r="I4">
        <v>2</v>
      </c>
    </row>
    <row r="5" spans="1:9" x14ac:dyDescent="0.2">
      <c r="A5" t="s">
        <v>385</v>
      </c>
      <c r="B5">
        <v>45</v>
      </c>
      <c r="C5">
        <v>42</v>
      </c>
      <c r="D5">
        <v>32</v>
      </c>
      <c r="E5">
        <v>24</v>
      </c>
      <c r="F5">
        <v>15</v>
      </c>
      <c r="G5">
        <v>13</v>
      </c>
      <c r="H5">
        <v>4</v>
      </c>
      <c r="I5">
        <v>0</v>
      </c>
    </row>
    <row r="6" spans="1:9" x14ac:dyDescent="0.2">
      <c r="A6" s="8" t="s">
        <v>386</v>
      </c>
      <c r="B6" s="8">
        <v>298</v>
      </c>
      <c r="C6">
        <v>270</v>
      </c>
      <c r="D6">
        <v>220</v>
      </c>
      <c r="E6">
        <v>167</v>
      </c>
      <c r="F6">
        <v>106</v>
      </c>
      <c r="G6">
        <v>63</v>
      </c>
      <c r="H6">
        <v>27</v>
      </c>
      <c r="I6">
        <v>6</v>
      </c>
    </row>
    <row r="8" spans="1:9" x14ac:dyDescent="0.2">
      <c r="A8" t="s">
        <v>387</v>
      </c>
      <c r="B8" t="s">
        <v>374</v>
      </c>
      <c r="C8" t="s">
        <v>388</v>
      </c>
      <c r="D8" t="s">
        <v>389</v>
      </c>
      <c r="E8" t="s">
        <v>390</v>
      </c>
      <c r="F8" t="s">
        <v>391</v>
      </c>
      <c r="G8" t="s">
        <v>392</v>
      </c>
      <c r="H8" t="s">
        <v>393</v>
      </c>
      <c r="I8" t="s">
        <v>394</v>
      </c>
    </row>
    <row r="9" spans="1:9" x14ac:dyDescent="0.2">
      <c r="A9" s="8" t="s">
        <v>395</v>
      </c>
      <c r="B9" s="8">
        <v>298</v>
      </c>
      <c r="C9" s="9">
        <v>0.95302013422818799</v>
      </c>
      <c r="D9" s="9">
        <v>0.84899328859060397</v>
      </c>
      <c r="E9" s="9">
        <v>0.74496644295301995</v>
      </c>
      <c r="F9" s="9">
        <v>0.66442953020134199</v>
      </c>
      <c r="G9" s="9">
        <v>0.53355704697986595</v>
      </c>
      <c r="H9" s="9">
        <v>0.389261744966443</v>
      </c>
      <c r="I9" s="9">
        <v>0.28523489932885898</v>
      </c>
    </row>
    <row r="10" spans="1:9" x14ac:dyDescent="0.2">
      <c r="A10" t="s">
        <v>396</v>
      </c>
      <c r="B10">
        <v>104</v>
      </c>
      <c r="C10" s="9">
        <v>0.80769230769230804</v>
      </c>
      <c r="D10" s="9">
        <v>0.67307692307692302</v>
      </c>
      <c r="E10" s="9">
        <v>0.55769230769230804</v>
      </c>
      <c r="F10" s="9">
        <v>0.480769230769231</v>
      </c>
      <c r="G10" s="9">
        <v>0.375</v>
      </c>
      <c r="H10" s="9">
        <v>0.25961538461538503</v>
      </c>
      <c r="I10" s="9">
        <v>0.19230769230769201</v>
      </c>
    </row>
    <row r="11" spans="1:9" x14ac:dyDescent="0.2">
      <c r="A11" t="s">
        <v>397</v>
      </c>
      <c r="B11">
        <v>90</v>
      </c>
      <c r="C11" s="9">
        <v>0.94444444444444398</v>
      </c>
      <c r="D11" s="9">
        <v>0.844444444444444</v>
      </c>
      <c r="E11" s="9">
        <v>0.7</v>
      </c>
      <c r="F11" s="9">
        <v>0.61111111111111105</v>
      </c>
      <c r="G11" s="9">
        <v>0.52222222222222203</v>
      </c>
      <c r="H11" s="9">
        <v>0.43333333333333302</v>
      </c>
      <c r="I11" s="9">
        <v>0.32222222222222202</v>
      </c>
    </row>
    <row r="12" spans="1:9" x14ac:dyDescent="0.2">
      <c r="A12" t="s">
        <v>398</v>
      </c>
      <c r="B12">
        <v>45</v>
      </c>
      <c r="C12" s="9">
        <v>0.97777777777777797</v>
      </c>
      <c r="D12" s="9">
        <v>0.8</v>
      </c>
      <c r="E12" s="9">
        <v>0.71111111111111103</v>
      </c>
      <c r="F12" s="9">
        <v>0.62222222222222201</v>
      </c>
      <c r="G12" s="9">
        <v>0.51111111111111096</v>
      </c>
      <c r="H12" s="9">
        <v>0.37777777777777799</v>
      </c>
      <c r="I12" s="9">
        <v>0.31111111111111101</v>
      </c>
    </row>
    <row r="13" spans="1:9" x14ac:dyDescent="0.2">
      <c r="A13" t="s">
        <v>399</v>
      </c>
      <c r="B13">
        <v>80</v>
      </c>
      <c r="C13" s="9">
        <v>0.97499999999999998</v>
      </c>
      <c r="D13" s="9">
        <v>0.95</v>
      </c>
      <c r="E13" s="9">
        <v>0.9</v>
      </c>
      <c r="F13" s="9">
        <v>0.83750000000000002</v>
      </c>
      <c r="G13" s="9">
        <v>0.66249999999999998</v>
      </c>
      <c r="H13" s="9">
        <v>0.4375</v>
      </c>
      <c r="I13" s="9">
        <v>0.28749999999999998</v>
      </c>
    </row>
  </sheetData>
  <phoneticPr fontId="4" type="noConversion"/>
  <pageMargins left="0.69930555555555596" right="0.69930555555555596" top="0.75" bottom="0.7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H93"/>
  <sheetViews>
    <sheetView zoomScaleNormal="100" workbookViewId="0">
      <selection activeCell="I31" sqref="I31"/>
    </sheetView>
  </sheetViews>
  <sheetFormatPr defaultColWidth="9" defaultRowHeight="14.25" x14ac:dyDescent="0.2"/>
  <cols>
    <col min="15" max="15" width="8.875" customWidth="1"/>
  </cols>
  <sheetData>
    <row r="1" spans="1:34" x14ac:dyDescent="0.2">
      <c r="A1" s="1" t="s">
        <v>1</v>
      </c>
      <c r="B1" s="1" t="s">
        <v>2</v>
      </c>
      <c r="C1" s="1" t="s">
        <v>3</v>
      </c>
      <c r="D1" s="1" t="s">
        <v>400</v>
      </c>
      <c r="E1" s="2" t="s">
        <v>401</v>
      </c>
      <c r="F1" s="2" t="s">
        <v>402</v>
      </c>
      <c r="G1" s="2" t="s">
        <v>403</v>
      </c>
      <c r="H1" s="2" t="s">
        <v>404</v>
      </c>
      <c r="I1" s="2" t="s">
        <v>405</v>
      </c>
      <c r="J1" s="2" t="s">
        <v>406</v>
      </c>
      <c r="K1" s="3" t="s">
        <v>407</v>
      </c>
      <c r="L1" s="2" t="s">
        <v>408</v>
      </c>
      <c r="M1" s="2" t="s">
        <v>409</v>
      </c>
      <c r="N1" s="2" t="s">
        <v>410</v>
      </c>
      <c r="O1" s="2" t="s">
        <v>411</v>
      </c>
      <c r="P1" s="2" t="s">
        <v>412</v>
      </c>
      <c r="Q1" t="s">
        <v>17</v>
      </c>
      <c r="R1" t="s">
        <v>18</v>
      </c>
      <c r="S1" s="4" t="s">
        <v>19</v>
      </c>
      <c r="T1" s="5" t="s">
        <v>20</v>
      </c>
      <c r="U1" s="2"/>
      <c r="V1" s="6" t="s">
        <v>22</v>
      </c>
      <c r="W1" s="6" t="s">
        <v>23</v>
      </c>
      <c r="X1" s="6" t="s">
        <v>24</v>
      </c>
      <c r="Y1" s="6" t="s">
        <v>25</v>
      </c>
      <c r="Z1" s="6" t="s">
        <v>26</v>
      </c>
      <c r="AA1" s="6" t="s">
        <v>27</v>
      </c>
      <c r="AB1" s="6" t="s">
        <v>28</v>
      </c>
      <c r="AC1" s="6" t="s">
        <v>29</v>
      </c>
      <c r="AD1" s="6" t="s">
        <v>30</v>
      </c>
      <c r="AE1" s="6" t="s">
        <v>31</v>
      </c>
      <c r="AF1" s="6" t="s">
        <v>32</v>
      </c>
      <c r="AG1" s="6" t="s">
        <v>33</v>
      </c>
      <c r="AH1" s="6" t="s">
        <v>34</v>
      </c>
    </row>
    <row r="2" spans="1:34" x14ac:dyDescent="0.2">
      <c r="A2" t="s">
        <v>100</v>
      </c>
      <c r="B2" t="s">
        <v>101</v>
      </c>
      <c r="C2" t="s">
        <v>101</v>
      </c>
      <c r="E2">
        <v>2</v>
      </c>
      <c r="F2">
        <v>0</v>
      </c>
      <c r="G2">
        <v>0</v>
      </c>
      <c r="H2">
        <v>0</v>
      </c>
      <c r="I2">
        <v>1</v>
      </c>
      <c r="J2">
        <v>1</v>
      </c>
      <c r="K2">
        <v>0</v>
      </c>
      <c r="M2">
        <v>0</v>
      </c>
      <c r="O2">
        <v>0</v>
      </c>
      <c r="P2">
        <v>0</v>
      </c>
      <c r="Q2">
        <v>1</v>
      </c>
      <c r="R2">
        <v>2</v>
      </c>
      <c r="S2">
        <v>7</v>
      </c>
      <c r="T2">
        <v>3</v>
      </c>
      <c r="V2" t="b">
        <f>Q2&gt;=1</f>
        <v>1</v>
      </c>
      <c r="W2" t="b">
        <f>Q2&gt;=2</f>
        <v>0</v>
      </c>
      <c r="X2" t="b">
        <f>Q2&gt;=3</f>
        <v>0</v>
      </c>
      <c r="Y2" t="b">
        <f>Q2&gt;=4</f>
        <v>0</v>
      </c>
      <c r="Z2" t="b">
        <f>Q2&gt;=5</f>
        <v>0</v>
      </c>
      <c r="AA2" t="b">
        <f>Q2&gt;=6</f>
        <v>0</v>
      </c>
      <c r="AB2" t="b">
        <f>Q2&gt;=7</f>
        <v>0</v>
      </c>
      <c r="AC2" t="b">
        <f>Q2&gt;=8</f>
        <v>0</v>
      </c>
      <c r="AD2" t="b">
        <f>Q2&gt;=9</f>
        <v>0</v>
      </c>
      <c r="AE2" t="b">
        <f>Q2&gt;=10</f>
        <v>0</v>
      </c>
      <c r="AF2" t="b">
        <f>Q2&gt;=11</f>
        <v>0</v>
      </c>
      <c r="AG2" t="b">
        <f>Q2&gt;=12</f>
        <v>0</v>
      </c>
      <c r="AH2" t="b">
        <f>Q2&gt;=13</f>
        <v>0</v>
      </c>
    </row>
    <row r="3" spans="1:34" x14ac:dyDescent="0.2">
      <c r="A3" t="s">
        <v>102</v>
      </c>
      <c r="B3" t="s">
        <v>101</v>
      </c>
      <c r="C3" t="s">
        <v>101</v>
      </c>
      <c r="D3">
        <v>1</v>
      </c>
      <c r="E3">
        <v>2</v>
      </c>
      <c r="F3">
        <v>1</v>
      </c>
      <c r="G3">
        <v>2</v>
      </c>
      <c r="I3">
        <v>0</v>
      </c>
      <c r="J3">
        <v>1</v>
      </c>
      <c r="K3">
        <v>0</v>
      </c>
      <c r="L3">
        <v>2</v>
      </c>
      <c r="M3">
        <v>1</v>
      </c>
      <c r="O3">
        <v>2</v>
      </c>
      <c r="P3">
        <v>0</v>
      </c>
      <c r="Q3">
        <v>4</v>
      </c>
      <c r="R3">
        <v>4</v>
      </c>
      <c r="S3">
        <v>3</v>
      </c>
      <c r="T3">
        <v>2</v>
      </c>
      <c r="V3" t="b">
        <f t="shared" ref="V3:V66" si="0">Q3&gt;=1</f>
        <v>1</v>
      </c>
      <c r="W3" t="b">
        <f t="shared" ref="W3:W66" si="1">Q3&gt;=2</f>
        <v>1</v>
      </c>
      <c r="X3" t="b">
        <f t="shared" ref="X3:X66" si="2">Q3&gt;=3</f>
        <v>1</v>
      </c>
      <c r="Y3" t="b">
        <f t="shared" ref="Y3:Y66" si="3">Q3&gt;=4</f>
        <v>1</v>
      </c>
      <c r="Z3" t="b">
        <f t="shared" ref="Z3:Z66" si="4">Q3&gt;=5</f>
        <v>0</v>
      </c>
      <c r="AA3" t="b">
        <f t="shared" ref="AA3:AA66" si="5">Q3&gt;=6</f>
        <v>0</v>
      </c>
      <c r="AB3" t="b">
        <f t="shared" ref="AB3:AB66" si="6">Q3&gt;=7</f>
        <v>0</v>
      </c>
      <c r="AC3" t="b">
        <f t="shared" ref="AC3:AC66" si="7">Q3&gt;=8</f>
        <v>0</v>
      </c>
      <c r="AD3" t="b">
        <f t="shared" ref="AD3:AD66" si="8">Q3&gt;=9</f>
        <v>0</v>
      </c>
      <c r="AE3" t="b">
        <f t="shared" ref="AE3:AE66" si="9">Q3&gt;=10</f>
        <v>0</v>
      </c>
      <c r="AF3" t="b">
        <f t="shared" ref="AF3:AF66" si="10">Q3&gt;=11</f>
        <v>0</v>
      </c>
      <c r="AG3" t="b">
        <f t="shared" ref="AG3:AG66" si="11">Q3&gt;=12</f>
        <v>0</v>
      </c>
      <c r="AH3" t="b">
        <f t="shared" ref="AH3:AH66" si="12">Q3&gt;=13</f>
        <v>0</v>
      </c>
    </row>
    <row r="4" spans="1:34" x14ac:dyDescent="0.2">
      <c r="A4" t="s">
        <v>103</v>
      </c>
      <c r="B4" t="s">
        <v>101</v>
      </c>
      <c r="C4" t="s">
        <v>101</v>
      </c>
      <c r="D4">
        <v>1</v>
      </c>
      <c r="E4">
        <v>0</v>
      </c>
      <c r="F4">
        <v>1</v>
      </c>
      <c r="G4">
        <v>2</v>
      </c>
      <c r="H4">
        <v>0</v>
      </c>
      <c r="I4">
        <v>0</v>
      </c>
      <c r="J4">
        <v>1</v>
      </c>
      <c r="K4">
        <v>1</v>
      </c>
      <c r="L4">
        <v>1</v>
      </c>
      <c r="M4">
        <v>1</v>
      </c>
      <c r="N4">
        <v>1</v>
      </c>
      <c r="O4">
        <v>2</v>
      </c>
      <c r="P4">
        <v>1</v>
      </c>
      <c r="Q4">
        <v>2</v>
      </c>
      <c r="R4">
        <v>8</v>
      </c>
      <c r="S4">
        <v>3</v>
      </c>
      <c r="T4">
        <v>0</v>
      </c>
      <c r="V4" t="b">
        <f t="shared" si="0"/>
        <v>1</v>
      </c>
      <c r="W4" t="b">
        <f t="shared" si="1"/>
        <v>1</v>
      </c>
      <c r="X4" t="b">
        <f t="shared" si="2"/>
        <v>0</v>
      </c>
      <c r="Y4" t="b">
        <f t="shared" si="3"/>
        <v>0</v>
      </c>
      <c r="Z4" t="b">
        <f t="shared" si="4"/>
        <v>0</v>
      </c>
      <c r="AA4" t="b">
        <f t="shared" si="5"/>
        <v>0</v>
      </c>
      <c r="AB4" t="b">
        <f t="shared" si="6"/>
        <v>0</v>
      </c>
      <c r="AC4" t="b">
        <f t="shared" si="7"/>
        <v>0</v>
      </c>
      <c r="AD4" t="b">
        <f t="shared" si="8"/>
        <v>0</v>
      </c>
      <c r="AE4" t="b">
        <f t="shared" si="9"/>
        <v>0</v>
      </c>
      <c r="AF4" t="b">
        <f t="shared" si="10"/>
        <v>0</v>
      </c>
      <c r="AG4" t="b">
        <f t="shared" si="11"/>
        <v>0</v>
      </c>
      <c r="AH4" t="b">
        <f t="shared" si="12"/>
        <v>0</v>
      </c>
    </row>
    <row r="5" spans="1:34" x14ac:dyDescent="0.2">
      <c r="A5" t="s">
        <v>104</v>
      </c>
      <c r="B5" t="s">
        <v>101</v>
      </c>
      <c r="C5" t="s">
        <v>101</v>
      </c>
      <c r="D5">
        <v>2</v>
      </c>
      <c r="E5">
        <v>1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1</v>
      </c>
      <c r="M5">
        <v>2</v>
      </c>
      <c r="N5">
        <v>2</v>
      </c>
      <c r="O5">
        <v>2</v>
      </c>
      <c r="P5">
        <v>2</v>
      </c>
      <c r="Q5">
        <v>11</v>
      </c>
      <c r="R5">
        <v>2</v>
      </c>
      <c r="S5">
        <v>0</v>
      </c>
      <c r="T5">
        <v>0</v>
      </c>
      <c r="V5" t="b">
        <f t="shared" si="0"/>
        <v>1</v>
      </c>
      <c r="W5" t="b">
        <f t="shared" si="1"/>
        <v>1</v>
      </c>
      <c r="X5" t="b">
        <f t="shared" si="2"/>
        <v>1</v>
      </c>
      <c r="Y5" t="b">
        <f t="shared" si="3"/>
        <v>1</v>
      </c>
      <c r="Z5" t="b">
        <f t="shared" si="4"/>
        <v>1</v>
      </c>
      <c r="AA5" t="b">
        <f t="shared" si="5"/>
        <v>1</v>
      </c>
      <c r="AB5" t="b">
        <f t="shared" si="6"/>
        <v>1</v>
      </c>
      <c r="AC5" t="b">
        <f t="shared" si="7"/>
        <v>1</v>
      </c>
      <c r="AD5" t="b">
        <f t="shared" si="8"/>
        <v>1</v>
      </c>
      <c r="AE5" t="b">
        <f t="shared" si="9"/>
        <v>1</v>
      </c>
      <c r="AF5" t="b">
        <f t="shared" si="10"/>
        <v>1</v>
      </c>
      <c r="AG5" t="b">
        <f t="shared" si="11"/>
        <v>0</v>
      </c>
      <c r="AH5" t="b">
        <f t="shared" si="12"/>
        <v>0</v>
      </c>
    </row>
    <row r="6" spans="1:34" x14ac:dyDescent="0.2">
      <c r="A6" t="s">
        <v>105</v>
      </c>
      <c r="B6" t="s">
        <v>101</v>
      </c>
      <c r="C6" t="s">
        <v>101</v>
      </c>
      <c r="D6">
        <v>1</v>
      </c>
      <c r="E6">
        <v>1</v>
      </c>
      <c r="F6">
        <v>2</v>
      </c>
      <c r="G6">
        <v>2</v>
      </c>
      <c r="H6">
        <v>0</v>
      </c>
      <c r="I6">
        <v>2</v>
      </c>
      <c r="J6">
        <v>2</v>
      </c>
      <c r="K6">
        <v>2</v>
      </c>
      <c r="L6">
        <v>1</v>
      </c>
      <c r="M6">
        <v>2</v>
      </c>
      <c r="N6">
        <v>2</v>
      </c>
      <c r="O6">
        <v>2</v>
      </c>
      <c r="P6">
        <v>1</v>
      </c>
      <c r="Q6">
        <v>8</v>
      </c>
      <c r="R6">
        <v>4</v>
      </c>
      <c r="S6">
        <v>1</v>
      </c>
      <c r="T6">
        <v>0</v>
      </c>
      <c r="V6" t="b">
        <f t="shared" si="0"/>
        <v>1</v>
      </c>
      <c r="W6" t="b">
        <f t="shared" si="1"/>
        <v>1</v>
      </c>
      <c r="X6" t="b">
        <f t="shared" si="2"/>
        <v>1</v>
      </c>
      <c r="Y6" t="b">
        <f t="shared" si="3"/>
        <v>1</v>
      </c>
      <c r="Z6" t="b">
        <f t="shared" si="4"/>
        <v>1</v>
      </c>
      <c r="AA6" t="b">
        <f t="shared" si="5"/>
        <v>1</v>
      </c>
      <c r="AB6" t="b">
        <f t="shared" si="6"/>
        <v>1</v>
      </c>
      <c r="AC6" t="b">
        <f t="shared" si="7"/>
        <v>1</v>
      </c>
      <c r="AD6" t="b">
        <f t="shared" si="8"/>
        <v>0</v>
      </c>
      <c r="AE6" t="b">
        <f t="shared" si="9"/>
        <v>0</v>
      </c>
      <c r="AF6" t="b">
        <f t="shared" si="10"/>
        <v>0</v>
      </c>
      <c r="AG6" t="b">
        <f t="shared" si="11"/>
        <v>0</v>
      </c>
      <c r="AH6" t="b">
        <f t="shared" si="12"/>
        <v>0</v>
      </c>
    </row>
    <row r="7" spans="1:34" x14ac:dyDescent="0.2">
      <c r="A7" t="s">
        <v>106</v>
      </c>
      <c r="B7" t="s">
        <v>101</v>
      </c>
      <c r="C7" t="s">
        <v>101</v>
      </c>
      <c r="D7">
        <v>0</v>
      </c>
      <c r="E7">
        <v>2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0</v>
      </c>
      <c r="S7">
        <v>12</v>
      </c>
      <c r="T7">
        <v>0</v>
      </c>
      <c r="V7" t="b">
        <f t="shared" si="0"/>
        <v>1</v>
      </c>
      <c r="W7" t="b">
        <f t="shared" si="1"/>
        <v>0</v>
      </c>
      <c r="X7" t="b">
        <f t="shared" si="2"/>
        <v>0</v>
      </c>
      <c r="Y7" t="b">
        <f t="shared" si="3"/>
        <v>0</v>
      </c>
      <c r="Z7" t="b">
        <f t="shared" si="4"/>
        <v>0</v>
      </c>
      <c r="AA7" t="b">
        <f t="shared" si="5"/>
        <v>0</v>
      </c>
      <c r="AB7" t="b">
        <f t="shared" si="6"/>
        <v>0</v>
      </c>
      <c r="AC7" t="b">
        <f t="shared" si="7"/>
        <v>0</v>
      </c>
      <c r="AD7" t="b">
        <f t="shared" si="8"/>
        <v>0</v>
      </c>
      <c r="AE7" t="b">
        <f t="shared" si="9"/>
        <v>0</v>
      </c>
      <c r="AF7" t="b">
        <f t="shared" si="10"/>
        <v>0</v>
      </c>
      <c r="AG7" t="b">
        <f t="shared" si="11"/>
        <v>0</v>
      </c>
      <c r="AH7" t="b">
        <f t="shared" si="12"/>
        <v>0</v>
      </c>
    </row>
    <row r="8" spans="1:34" x14ac:dyDescent="0.2">
      <c r="A8" t="s">
        <v>107</v>
      </c>
      <c r="B8" t="s">
        <v>101</v>
      </c>
      <c r="C8" t="s">
        <v>101</v>
      </c>
      <c r="D8">
        <v>0</v>
      </c>
      <c r="E8">
        <v>2</v>
      </c>
      <c r="F8">
        <v>1</v>
      </c>
      <c r="G8">
        <v>2</v>
      </c>
      <c r="H8">
        <v>1</v>
      </c>
      <c r="I8">
        <v>1</v>
      </c>
      <c r="J8">
        <v>2</v>
      </c>
      <c r="K8">
        <v>0</v>
      </c>
      <c r="L8">
        <v>2</v>
      </c>
      <c r="M8">
        <v>2</v>
      </c>
      <c r="N8">
        <v>0</v>
      </c>
      <c r="O8">
        <v>2</v>
      </c>
      <c r="P8">
        <v>0</v>
      </c>
      <c r="Q8">
        <v>6</v>
      </c>
      <c r="R8">
        <v>3</v>
      </c>
      <c r="S8">
        <v>4</v>
      </c>
      <c r="T8">
        <v>0</v>
      </c>
      <c r="V8" t="b">
        <f t="shared" si="0"/>
        <v>1</v>
      </c>
      <c r="W8" t="b">
        <f t="shared" si="1"/>
        <v>1</v>
      </c>
      <c r="X8" t="b">
        <f t="shared" si="2"/>
        <v>1</v>
      </c>
      <c r="Y8" t="b">
        <f t="shared" si="3"/>
        <v>1</v>
      </c>
      <c r="Z8" t="b">
        <f t="shared" si="4"/>
        <v>1</v>
      </c>
      <c r="AA8" t="b">
        <f t="shared" si="5"/>
        <v>1</v>
      </c>
      <c r="AB8" t="b">
        <f t="shared" si="6"/>
        <v>0</v>
      </c>
      <c r="AC8" t="b">
        <f t="shared" si="7"/>
        <v>0</v>
      </c>
      <c r="AD8" t="b">
        <f t="shared" si="8"/>
        <v>0</v>
      </c>
      <c r="AE8" t="b">
        <f t="shared" si="9"/>
        <v>0</v>
      </c>
      <c r="AF8" t="b">
        <f t="shared" si="10"/>
        <v>0</v>
      </c>
      <c r="AG8" t="b">
        <f t="shared" si="11"/>
        <v>0</v>
      </c>
      <c r="AH8" t="b">
        <f t="shared" si="12"/>
        <v>0</v>
      </c>
    </row>
    <row r="9" spans="1:34" x14ac:dyDescent="0.2">
      <c r="A9" t="s">
        <v>108</v>
      </c>
      <c r="B9" t="s">
        <v>109</v>
      </c>
      <c r="C9" t="s">
        <v>110</v>
      </c>
      <c r="D9">
        <v>2</v>
      </c>
      <c r="E9">
        <v>2</v>
      </c>
      <c r="F9">
        <v>2</v>
      </c>
      <c r="G9">
        <v>2</v>
      </c>
      <c r="H9">
        <v>2</v>
      </c>
      <c r="I9">
        <v>1</v>
      </c>
      <c r="J9">
        <v>1</v>
      </c>
      <c r="K9">
        <v>2</v>
      </c>
      <c r="L9">
        <v>1</v>
      </c>
      <c r="M9">
        <v>2</v>
      </c>
      <c r="N9">
        <v>1</v>
      </c>
      <c r="O9">
        <v>2</v>
      </c>
      <c r="P9">
        <v>2</v>
      </c>
      <c r="Q9">
        <v>9</v>
      </c>
      <c r="R9">
        <v>4</v>
      </c>
      <c r="S9">
        <v>0</v>
      </c>
      <c r="T9">
        <v>0</v>
      </c>
      <c r="V9" t="b">
        <f t="shared" si="0"/>
        <v>1</v>
      </c>
      <c r="W9" t="b">
        <f t="shared" si="1"/>
        <v>1</v>
      </c>
      <c r="X9" t="b">
        <f t="shared" si="2"/>
        <v>1</v>
      </c>
      <c r="Y9" t="b">
        <f t="shared" si="3"/>
        <v>1</v>
      </c>
      <c r="Z9" t="b">
        <f t="shared" si="4"/>
        <v>1</v>
      </c>
      <c r="AA9" t="b">
        <f t="shared" si="5"/>
        <v>1</v>
      </c>
      <c r="AB9" t="b">
        <f t="shared" si="6"/>
        <v>1</v>
      </c>
      <c r="AC9" t="b">
        <f t="shared" si="7"/>
        <v>1</v>
      </c>
      <c r="AD9" t="b">
        <f t="shared" si="8"/>
        <v>1</v>
      </c>
      <c r="AE9" t="b">
        <f t="shared" si="9"/>
        <v>0</v>
      </c>
      <c r="AF9" t="b">
        <f t="shared" si="10"/>
        <v>0</v>
      </c>
      <c r="AG9" t="b">
        <f t="shared" si="11"/>
        <v>0</v>
      </c>
      <c r="AH9" t="b">
        <f t="shared" si="12"/>
        <v>0</v>
      </c>
    </row>
    <row r="10" spans="1:34" x14ac:dyDescent="0.2">
      <c r="A10" t="s">
        <v>111</v>
      </c>
      <c r="B10" t="s">
        <v>109</v>
      </c>
      <c r="C10" t="s">
        <v>110</v>
      </c>
      <c r="D10">
        <v>2</v>
      </c>
      <c r="E10">
        <v>1</v>
      </c>
      <c r="F10">
        <v>2</v>
      </c>
      <c r="G10">
        <v>2</v>
      </c>
      <c r="H10">
        <v>2</v>
      </c>
      <c r="I10">
        <v>2</v>
      </c>
      <c r="J10">
        <v>1</v>
      </c>
      <c r="K10">
        <v>2</v>
      </c>
      <c r="L10">
        <v>1</v>
      </c>
      <c r="M10">
        <v>2</v>
      </c>
      <c r="N10">
        <v>1</v>
      </c>
      <c r="O10">
        <v>2</v>
      </c>
      <c r="P10">
        <v>2</v>
      </c>
      <c r="Q10">
        <v>9</v>
      </c>
      <c r="R10">
        <v>4</v>
      </c>
      <c r="S10">
        <v>0</v>
      </c>
      <c r="T10">
        <v>0</v>
      </c>
      <c r="V10" t="b">
        <f t="shared" si="0"/>
        <v>1</v>
      </c>
      <c r="W10" t="b">
        <f t="shared" si="1"/>
        <v>1</v>
      </c>
      <c r="X10" t="b">
        <f t="shared" si="2"/>
        <v>1</v>
      </c>
      <c r="Y10" t="b">
        <f t="shared" si="3"/>
        <v>1</v>
      </c>
      <c r="Z10" t="b">
        <f t="shared" si="4"/>
        <v>1</v>
      </c>
      <c r="AA10" t="b">
        <f t="shared" si="5"/>
        <v>1</v>
      </c>
      <c r="AB10" t="b">
        <f t="shared" si="6"/>
        <v>1</v>
      </c>
      <c r="AC10" t="b">
        <f t="shared" si="7"/>
        <v>1</v>
      </c>
      <c r="AD10" t="b">
        <f t="shared" si="8"/>
        <v>1</v>
      </c>
      <c r="AE10" t="b">
        <f t="shared" si="9"/>
        <v>0</v>
      </c>
      <c r="AF10" t="b">
        <f t="shared" si="10"/>
        <v>0</v>
      </c>
      <c r="AG10" t="b">
        <f t="shared" si="11"/>
        <v>0</v>
      </c>
      <c r="AH10" t="b">
        <f t="shared" si="12"/>
        <v>0</v>
      </c>
    </row>
    <row r="11" spans="1:34" x14ac:dyDescent="0.2">
      <c r="A11" t="s">
        <v>112</v>
      </c>
      <c r="B11" t="s">
        <v>109</v>
      </c>
      <c r="C11" t="s">
        <v>110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1</v>
      </c>
      <c r="K11">
        <v>2</v>
      </c>
      <c r="L11">
        <v>1</v>
      </c>
      <c r="M11">
        <v>2</v>
      </c>
      <c r="O11">
        <v>2</v>
      </c>
      <c r="P11">
        <v>2</v>
      </c>
      <c r="Q11">
        <v>10</v>
      </c>
      <c r="R11">
        <v>2</v>
      </c>
      <c r="S11">
        <v>0</v>
      </c>
      <c r="T11">
        <v>1</v>
      </c>
      <c r="V11" t="b">
        <f t="shared" si="0"/>
        <v>1</v>
      </c>
      <c r="W11" t="b">
        <f t="shared" si="1"/>
        <v>1</v>
      </c>
      <c r="X11" t="b">
        <f t="shared" si="2"/>
        <v>1</v>
      </c>
      <c r="Y11" t="b">
        <f t="shared" si="3"/>
        <v>1</v>
      </c>
      <c r="Z11" t="b">
        <f t="shared" si="4"/>
        <v>1</v>
      </c>
      <c r="AA11" t="b">
        <f t="shared" si="5"/>
        <v>1</v>
      </c>
      <c r="AB11" t="b">
        <f t="shared" si="6"/>
        <v>1</v>
      </c>
      <c r="AC11" t="b">
        <f t="shared" si="7"/>
        <v>1</v>
      </c>
      <c r="AD11" t="b">
        <f t="shared" si="8"/>
        <v>1</v>
      </c>
      <c r="AE11" t="b">
        <f t="shared" si="9"/>
        <v>1</v>
      </c>
      <c r="AF11" t="b">
        <f t="shared" si="10"/>
        <v>0</v>
      </c>
      <c r="AG11" t="b">
        <f t="shared" si="11"/>
        <v>0</v>
      </c>
      <c r="AH11" t="b">
        <f t="shared" si="12"/>
        <v>0</v>
      </c>
    </row>
    <row r="12" spans="1:34" x14ac:dyDescent="0.2">
      <c r="A12" t="s">
        <v>113</v>
      </c>
      <c r="B12" t="s">
        <v>109</v>
      </c>
      <c r="C12" t="s">
        <v>110</v>
      </c>
      <c r="D12">
        <v>2</v>
      </c>
      <c r="E12">
        <v>1</v>
      </c>
      <c r="F12">
        <v>2</v>
      </c>
      <c r="G12">
        <v>2</v>
      </c>
      <c r="H12">
        <v>2</v>
      </c>
      <c r="I12">
        <v>2</v>
      </c>
      <c r="J12">
        <v>1</v>
      </c>
      <c r="K12">
        <v>2</v>
      </c>
      <c r="L12">
        <v>1</v>
      </c>
      <c r="M12">
        <v>2</v>
      </c>
      <c r="N12">
        <v>1</v>
      </c>
      <c r="O12">
        <v>2</v>
      </c>
      <c r="P12">
        <v>2</v>
      </c>
      <c r="Q12">
        <v>9</v>
      </c>
      <c r="R12">
        <v>4</v>
      </c>
      <c r="S12">
        <v>0</v>
      </c>
      <c r="T12">
        <v>0</v>
      </c>
      <c r="V12" t="b">
        <f t="shared" si="0"/>
        <v>1</v>
      </c>
      <c r="W12" t="b">
        <f t="shared" si="1"/>
        <v>1</v>
      </c>
      <c r="X12" t="b">
        <f t="shared" si="2"/>
        <v>1</v>
      </c>
      <c r="Y12" t="b">
        <f t="shared" si="3"/>
        <v>1</v>
      </c>
      <c r="Z12" t="b">
        <f t="shared" si="4"/>
        <v>1</v>
      </c>
      <c r="AA12" t="b">
        <f t="shared" si="5"/>
        <v>1</v>
      </c>
      <c r="AB12" t="b">
        <f t="shared" si="6"/>
        <v>1</v>
      </c>
      <c r="AC12" t="b">
        <f t="shared" si="7"/>
        <v>1</v>
      </c>
      <c r="AD12" t="b">
        <f t="shared" si="8"/>
        <v>1</v>
      </c>
      <c r="AE12" t="b">
        <f t="shared" si="9"/>
        <v>0</v>
      </c>
      <c r="AF12" t="b">
        <f t="shared" si="10"/>
        <v>0</v>
      </c>
      <c r="AG12" t="b">
        <f t="shared" si="11"/>
        <v>0</v>
      </c>
      <c r="AH12" t="b">
        <f t="shared" si="12"/>
        <v>0</v>
      </c>
    </row>
    <row r="13" spans="1:34" x14ac:dyDescent="0.2">
      <c r="A13" t="s">
        <v>114</v>
      </c>
      <c r="B13" t="s">
        <v>109</v>
      </c>
      <c r="C13" t="s">
        <v>110</v>
      </c>
      <c r="D13">
        <v>0</v>
      </c>
      <c r="E13">
        <v>2</v>
      </c>
      <c r="F13">
        <v>2</v>
      </c>
      <c r="G13">
        <v>2</v>
      </c>
      <c r="H13">
        <v>2</v>
      </c>
      <c r="I13">
        <v>0</v>
      </c>
      <c r="J13">
        <v>0</v>
      </c>
      <c r="K13">
        <v>1</v>
      </c>
      <c r="L13">
        <v>2</v>
      </c>
      <c r="M13">
        <v>1</v>
      </c>
      <c r="O13">
        <v>2</v>
      </c>
      <c r="P13">
        <v>1</v>
      </c>
      <c r="Q13">
        <v>6</v>
      </c>
      <c r="R13">
        <v>3</v>
      </c>
      <c r="S13">
        <v>3</v>
      </c>
      <c r="T13">
        <v>1</v>
      </c>
      <c r="V13" t="b">
        <f t="shared" si="0"/>
        <v>1</v>
      </c>
      <c r="W13" t="b">
        <f t="shared" si="1"/>
        <v>1</v>
      </c>
      <c r="X13" t="b">
        <f t="shared" si="2"/>
        <v>1</v>
      </c>
      <c r="Y13" t="b">
        <f t="shared" si="3"/>
        <v>1</v>
      </c>
      <c r="Z13" t="b">
        <f t="shared" si="4"/>
        <v>1</v>
      </c>
      <c r="AA13" t="b">
        <f t="shared" si="5"/>
        <v>1</v>
      </c>
      <c r="AB13" t="b">
        <f t="shared" si="6"/>
        <v>0</v>
      </c>
      <c r="AC13" t="b">
        <f t="shared" si="7"/>
        <v>0</v>
      </c>
      <c r="AD13" t="b">
        <f t="shared" si="8"/>
        <v>0</v>
      </c>
      <c r="AE13" t="b">
        <f t="shared" si="9"/>
        <v>0</v>
      </c>
      <c r="AF13" t="b">
        <f t="shared" si="10"/>
        <v>0</v>
      </c>
      <c r="AG13" t="b">
        <f t="shared" si="11"/>
        <v>0</v>
      </c>
      <c r="AH13" t="b">
        <f t="shared" si="12"/>
        <v>0</v>
      </c>
    </row>
    <row r="14" spans="1:34" x14ac:dyDescent="0.2">
      <c r="A14" t="s">
        <v>99</v>
      </c>
      <c r="B14" t="s">
        <v>115</v>
      </c>
      <c r="C14" t="s">
        <v>116</v>
      </c>
      <c r="D14">
        <v>0</v>
      </c>
      <c r="E14">
        <v>2</v>
      </c>
      <c r="F14">
        <v>1</v>
      </c>
      <c r="G14">
        <v>2</v>
      </c>
      <c r="H14">
        <v>0</v>
      </c>
      <c r="I14">
        <v>0</v>
      </c>
      <c r="J14">
        <v>0</v>
      </c>
      <c r="K14">
        <v>0</v>
      </c>
      <c r="L14">
        <v>1</v>
      </c>
      <c r="M14">
        <v>2</v>
      </c>
      <c r="O14">
        <v>2</v>
      </c>
      <c r="P14">
        <v>0</v>
      </c>
      <c r="Q14">
        <v>4</v>
      </c>
      <c r="R14">
        <v>2</v>
      </c>
      <c r="S14">
        <v>6</v>
      </c>
      <c r="T14">
        <v>1</v>
      </c>
      <c r="V14" t="b">
        <f t="shared" si="0"/>
        <v>1</v>
      </c>
      <c r="W14" t="b">
        <f t="shared" si="1"/>
        <v>1</v>
      </c>
      <c r="X14" t="b">
        <f t="shared" si="2"/>
        <v>1</v>
      </c>
      <c r="Y14" t="b">
        <f t="shared" si="3"/>
        <v>1</v>
      </c>
      <c r="Z14" t="b">
        <f t="shared" si="4"/>
        <v>0</v>
      </c>
      <c r="AA14" t="b">
        <f t="shared" si="5"/>
        <v>0</v>
      </c>
      <c r="AB14" t="b">
        <f t="shared" si="6"/>
        <v>0</v>
      </c>
      <c r="AC14" t="b">
        <f t="shared" si="7"/>
        <v>0</v>
      </c>
      <c r="AD14" t="b">
        <f t="shared" si="8"/>
        <v>0</v>
      </c>
      <c r="AE14" t="b">
        <f t="shared" si="9"/>
        <v>0</v>
      </c>
      <c r="AF14" t="b">
        <f t="shared" si="10"/>
        <v>0</v>
      </c>
      <c r="AG14" t="b">
        <f t="shared" si="11"/>
        <v>0</v>
      </c>
      <c r="AH14" t="b">
        <f t="shared" si="12"/>
        <v>0</v>
      </c>
    </row>
    <row r="15" spans="1:34" x14ac:dyDescent="0.2">
      <c r="A15" t="s">
        <v>117</v>
      </c>
      <c r="B15" t="s">
        <v>118</v>
      </c>
      <c r="C15" t="s">
        <v>119</v>
      </c>
      <c r="D15">
        <v>2</v>
      </c>
      <c r="E15">
        <v>1</v>
      </c>
      <c r="F15">
        <v>2</v>
      </c>
      <c r="G15">
        <v>2</v>
      </c>
      <c r="H15">
        <v>2</v>
      </c>
      <c r="I15">
        <v>2</v>
      </c>
      <c r="J15">
        <v>0</v>
      </c>
      <c r="K15">
        <v>2</v>
      </c>
      <c r="L15">
        <v>1</v>
      </c>
      <c r="M15">
        <v>2</v>
      </c>
      <c r="N15">
        <v>1</v>
      </c>
      <c r="O15">
        <v>2</v>
      </c>
      <c r="P15">
        <v>2</v>
      </c>
      <c r="Q15">
        <v>9</v>
      </c>
      <c r="R15">
        <v>3</v>
      </c>
      <c r="S15">
        <v>1</v>
      </c>
      <c r="T15">
        <v>0</v>
      </c>
      <c r="V15" t="b">
        <f t="shared" si="0"/>
        <v>1</v>
      </c>
      <c r="W15" t="b">
        <f t="shared" si="1"/>
        <v>1</v>
      </c>
      <c r="X15" t="b">
        <f t="shared" si="2"/>
        <v>1</v>
      </c>
      <c r="Y15" t="b">
        <f t="shared" si="3"/>
        <v>1</v>
      </c>
      <c r="Z15" t="b">
        <f t="shared" si="4"/>
        <v>1</v>
      </c>
      <c r="AA15" t="b">
        <f t="shared" si="5"/>
        <v>1</v>
      </c>
      <c r="AB15" t="b">
        <f t="shared" si="6"/>
        <v>1</v>
      </c>
      <c r="AC15" t="b">
        <f t="shared" si="7"/>
        <v>1</v>
      </c>
      <c r="AD15" t="b">
        <f t="shared" si="8"/>
        <v>1</v>
      </c>
      <c r="AE15" t="b">
        <f t="shared" si="9"/>
        <v>0</v>
      </c>
      <c r="AF15" t="b">
        <f t="shared" si="10"/>
        <v>0</v>
      </c>
      <c r="AG15" t="b">
        <f t="shared" si="11"/>
        <v>0</v>
      </c>
      <c r="AH15" t="b">
        <f t="shared" si="12"/>
        <v>0</v>
      </c>
    </row>
    <row r="16" spans="1:34" x14ac:dyDescent="0.2">
      <c r="A16" t="s">
        <v>120</v>
      </c>
      <c r="B16" t="s">
        <v>118</v>
      </c>
      <c r="C16" t="s">
        <v>119</v>
      </c>
      <c r="D16">
        <v>2</v>
      </c>
      <c r="E16">
        <v>2</v>
      </c>
      <c r="F16">
        <v>2</v>
      </c>
      <c r="G16">
        <v>2</v>
      </c>
      <c r="H16">
        <v>2</v>
      </c>
      <c r="I16">
        <v>2</v>
      </c>
      <c r="J16">
        <v>1</v>
      </c>
      <c r="K16">
        <v>2</v>
      </c>
      <c r="L16">
        <v>1</v>
      </c>
      <c r="M16">
        <v>2</v>
      </c>
      <c r="N16">
        <v>2</v>
      </c>
      <c r="O16">
        <v>2</v>
      </c>
      <c r="P16">
        <v>2</v>
      </c>
      <c r="Q16">
        <v>11</v>
      </c>
      <c r="R16">
        <v>2</v>
      </c>
      <c r="S16">
        <v>0</v>
      </c>
      <c r="T16">
        <v>0</v>
      </c>
      <c r="V16" t="b">
        <f t="shared" si="0"/>
        <v>1</v>
      </c>
      <c r="W16" t="b">
        <f t="shared" si="1"/>
        <v>1</v>
      </c>
      <c r="X16" t="b">
        <f t="shared" si="2"/>
        <v>1</v>
      </c>
      <c r="Y16" t="b">
        <f t="shared" si="3"/>
        <v>1</v>
      </c>
      <c r="Z16" t="b">
        <f t="shared" si="4"/>
        <v>1</v>
      </c>
      <c r="AA16" t="b">
        <f t="shared" si="5"/>
        <v>1</v>
      </c>
      <c r="AB16" t="b">
        <f t="shared" si="6"/>
        <v>1</v>
      </c>
      <c r="AC16" t="b">
        <f t="shared" si="7"/>
        <v>1</v>
      </c>
      <c r="AD16" t="b">
        <f t="shared" si="8"/>
        <v>1</v>
      </c>
      <c r="AE16" t="b">
        <f t="shared" si="9"/>
        <v>1</v>
      </c>
      <c r="AF16" t="b">
        <f t="shared" si="10"/>
        <v>1</v>
      </c>
      <c r="AG16" t="b">
        <f t="shared" si="11"/>
        <v>0</v>
      </c>
      <c r="AH16" t="b">
        <f t="shared" si="12"/>
        <v>0</v>
      </c>
    </row>
    <row r="17" spans="1:34" x14ac:dyDescent="0.2">
      <c r="A17" t="s">
        <v>121</v>
      </c>
      <c r="B17" t="s">
        <v>118</v>
      </c>
      <c r="C17" t="s">
        <v>119</v>
      </c>
      <c r="D17">
        <v>0</v>
      </c>
      <c r="E17">
        <v>2</v>
      </c>
      <c r="F17">
        <v>1</v>
      </c>
      <c r="G17">
        <v>1</v>
      </c>
      <c r="H17">
        <v>0</v>
      </c>
      <c r="I17">
        <v>0</v>
      </c>
      <c r="J17">
        <v>1</v>
      </c>
      <c r="K17">
        <v>1</v>
      </c>
      <c r="M17">
        <v>0</v>
      </c>
      <c r="O17">
        <v>0</v>
      </c>
      <c r="P17">
        <v>0</v>
      </c>
      <c r="Q17">
        <v>1</v>
      </c>
      <c r="R17">
        <v>4</v>
      </c>
      <c r="S17">
        <v>6</v>
      </c>
      <c r="T17">
        <v>2</v>
      </c>
      <c r="V17" t="b">
        <f t="shared" si="0"/>
        <v>1</v>
      </c>
      <c r="W17" t="b">
        <f t="shared" si="1"/>
        <v>0</v>
      </c>
      <c r="X17" t="b">
        <f t="shared" si="2"/>
        <v>0</v>
      </c>
      <c r="Y17" t="b">
        <f t="shared" si="3"/>
        <v>0</v>
      </c>
      <c r="Z17" t="b">
        <f t="shared" si="4"/>
        <v>0</v>
      </c>
      <c r="AA17" t="b">
        <f t="shared" si="5"/>
        <v>0</v>
      </c>
      <c r="AB17" t="b">
        <f t="shared" si="6"/>
        <v>0</v>
      </c>
      <c r="AC17" t="b">
        <f t="shared" si="7"/>
        <v>0</v>
      </c>
      <c r="AD17" t="b">
        <f t="shared" si="8"/>
        <v>0</v>
      </c>
      <c r="AE17" t="b">
        <f t="shared" si="9"/>
        <v>0</v>
      </c>
      <c r="AF17" t="b">
        <f t="shared" si="10"/>
        <v>0</v>
      </c>
      <c r="AG17" t="b">
        <f t="shared" si="11"/>
        <v>0</v>
      </c>
      <c r="AH17" t="b">
        <f t="shared" si="12"/>
        <v>0</v>
      </c>
    </row>
    <row r="18" spans="1:34" x14ac:dyDescent="0.2">
      <c r="A18" t="s">
        <v>122</v>
      </c>
      <c r="B18" t="s">
        <v>118</v>
      </c>
      <c r="C18" t="s">
        <v>119</v>
      </c>
      <c r="D18">
        <v>2</v>
      </c>
      <c r="E18">
        <v>2</v>
      </c>
      <c r="F18">
        <v>2</v>
      </c>
      <c r="G18">
        <v>2</v>
      </c>
      <c r="H18">
        <v>2</v>
      </c>
      <c r="I18">
        <v>2</v>
      </c>
      <c r="J18">
        <v>1</v>
      </c>
      <c r="K18">
        <v>2</v>
      </c>
      <c r="L18">
        <v>1</v>
      </c>
      <c r="M18">
        <v>2</v>
      </c>
      <c r="N18">
        <v>2</v>
      </c>
      <c r="O18">
        <v>2</v>
      </c>
      <c r="P18">
        <v>2</v>
      </c>
      <c r="Q18">
        <v>11</v>
      </c>
      <c r="R18">
        <v>2</v>
      </c>
      <c r="S18">
        <v>0</v>
      </c>
      <c r="T18">
        <v>0</v>
      </c>
      <c r="V18" t="b">
        <f t="shared" si="0"/>
        <v>1</v>
      </c>
      <c r="W18" t="b">
        <f t="shared" si="1"/>
        <v>1</v>
      </c>
      <c r="X18" t="b">
        <f t="shared" si="2"/>
        <v>1</v>
      </c>
      <c r="Y18" t="b">
        <f t="shared" si="3"/>
        <v>1</v>
      </c>
      <c r="Z18" t="b">
        <f t="shared" si="4"/>
        <v>1</v>
      </c>
      <c r="AA18" t="b">
        <f t="shared" si="5"/>
        <v>1</v>
      </c>
      <c r="AB18" t="b">
        <f t="shared" si="6"/>
        <v>1</v>
      </c>
      <c r="AC18" t="b">
        <f t="shared" si="7"/>
        <v>1</v>
      </c>
      <c r="AD18" t="b">
        <f t="shared" si="8"/>
        <v>1</v>
      </c>
      <c r="AE18" t="b">
        <f t="shared" si="9"/>
        <v>1</v>
      </c>
      <c r="AF18" t="b">
        <f t="shared" si="10"/>
        <v>1</v>
      </c>
      <c r="AG18" t="b">
        <f t="shared" si="11"/>
        <v>0</v>
      </c>
      <c r="AH18" t="b">
        <f t="shared" si="12"/>
        <v>0</v>
      </c>
    </row>
    <row r="19" spans="1:34" x14ac:dyDescent="0.2">
      <c r="A19" t="s">
        <v>123</v>
      </c>
      <c r="B19" t="s">
        <v>124</v>
      </c>
      <c r="C19" t="s">
        <v>124</v>
      </c>
      <c r="D19">
        <v>0</v>
      </c>
      <c r="E19">
        <v>2</v>
      </c>
      <c r="F19">
        <v>1</v>
      </c>
      <c r="G19">
        <v>2</v>
      </c>
      <c r="H19">
        <v>0</v>
      </c>
      <c r="I19">
        <v>0</v>
      </c>
      <c r="J19">
        <v>0</v>
      </c>
      <c r="K19">
        <v>1</v>
      </c>
      <c r="L19">
        <v>2</v>
      </c>
      <c r="M19">
        <v>0</v>
      </c>
      <c r="N19">
        <v>1</v>
      </c>
      <c r="O19">
        <v>0</v>
      </c>
      <c r="P19">
        <v>0</v>
      </c>
      <c r="Q19">
        <v>3</v>
      </c>
      <c r="R19">
        <v>3</v>
      </c>
      <c r="S19">
        <v>7</v>
      </c>
      <c r="T19">
        <v>0</v>
      </c>
      <c r="V19" t="b">
        <f t="shared" si="0"/>
        <v>1</v>
      </c>
      <c r="W19" t="b">
        <f t="shared" si="1"/>
        <v>1</v>
      </c>
      <c r="X19" t="b">
        <f t="shared" si="2"/>
        <v>1</v>
      </c>
      <c r="Y19" t="b">
        <f t="shared" si="3"/>
        <v>0</v>
      </c>
      <c r="Z19" t="b">
        <f t="shared" si="4"/>
        <v>0</v>
      </c>
      <c r="AA19" t="b">
        <f t="shared" si="5"/>
        <v>0</v>
      </c>
      <c r="AB19" t="b">
        <f t="shared" si="6"/>
        <v>0</v>
      </c>
      <c r="AC19" t="b">
        <f t="shared" si="7"/>
        <v>0</v>
      </c>
      <c r="AD19" t="b">
        <f t="shared" si="8"/>
        <v>0</v>
      </c>
      <c r="AE19" t="b">
        <f t="shared" si="9"/>
        <v>0</v>
      </c>
      <c r="AF19" t="b">
        <f t="shared" si="10"/>
        <v>0</v>
      </c>
      <c r="AG19" t="b">
        <f t="shared" si="11"/>
        <v>0</v>
      </c>
      <c r="AH19" t="b">
        <f t="shared" si="12"/>
        <v>0</v>
      </c>
    </row>
    <row r="20" spans="1:34" x14ac:dyDescent="0.2">
      <c r="A20" t="s">
        <v>125</v>
      </c>
      <c r="B20" t="s">
        <v>124</v>
      </c>
      <c r="C20" t="s">
        <v>124</v>
      </c>
      <c r="D20">
        <v>1</v>
      </c>
      <c r="E20">
        <v>2</v>
      </c>
      <c r="F20">
        <v>1</v>
      </c>
      <c r="G20">
        <v>2</v>
      </c>
      <c r="H20">
        <v>1</v>
      </c>
      <c r="I20">
        <v>1</v>
      </c>
      <c r="J20">
        <v>2</v>
      </c>
      <c r="K20">
        <v>1</v>
      </c>
      <c r="L20">
        <v>2</v>
      </c>
      <c r="M20">
        <v>2</v>
      </c>
      <c r="N20">
        <v>1</v>
      </c>
      <c r="O20">
        <v>2</v>
      </c>
      <c r="P20">
        <v>2</v>
      </c>
      <c r="Q20">
        <v>7</v>
      </c>
      <c r="R20">
        <v>6</v>
      </c>
      <c r="S20">
        <v>0</v>
      </c>
      <c r="T20">
        <v>0</v>
      </c>
      <c r="V20" t="b">
        <f t="shared" si="0"/>
        <v>1</v>
      </c>
      <c r="W20" t="b">
        <f t="shared" si="1"/>
        <v>1</v>
      </c>
      <c r="X20" t="b">
        <f t="shared" si="2"/>
        <v>1</v>
      </c>
      <c r="Y20" t="b">
        <f t="shared" si="3"/>
        <v>1</v>
      </c>
      <c r="Z20" t="b">
        <f t="shared" si="4"/>
        <v>1</v>
      </c>
      <c r="AA20" t="b">
        <f t="shared" si="5"/>
        <v>1</v>
      </c>
      <c r="AB20" t="b">
        <f t="shared" si="6"/>
        <v>1</v>
      </c>
      <c r="AC20" t="b">
        <f t="shared" si="7"/>
        <v>0</v>
      </c>
      <c r="AD20" t="b">
        <f t="shared" si="8"/>
        <v>0</v>
      </c>
      <c r="AE20" t="b">
        <f t="shared" si="9"/>
        <v>0</v>
      </c>
      <c r="AF20" t="b">
        <f t="shared" si="10"/>
        <v>0</v>
      </c>
      <c r="AG20" t="b">
        <f t="shared" si="11"/>
        <v>0</v>
      </c>
      <c r="AH20" t="b">
        <f t="shared" si="12"/>
        <v>0</v>
      </c>
    </row>
    <row r="21" spans="1:34" x14ac:dyDescent="0.2">
      <c r="A21" t="s">
        <v>126</v>
      </c>
      <c r="B21" t="s">
        <v>124</v>
      </c>
      <c r="C21" t="s">
        <v>124</v>
      </c>
      <c r="D21">
        <v>1</v>
      </c>
      <c r="E21">
        <v>2</v>
      </c>
      <c r="F21">
        <v>2</v>
      </c>
      <c r="G21">
        <v>2</v>
      </c>
      <c r="H21">
        <v>2</v>
      </c>
      <c r="I21">
        <v>0</v>
      </c>
      <c r="J21">
        <v>1</v>
      </c>
      <c r="K21">
        <v>2</v>
      </c>
      <c r="L21">
        <v>1</v>
      </c>
      <c r="M21">
        <v>1</v>
      </c>
      <c r="N21">
        <v>1</v>
      </c>
      <c r="O21">
        <v>2</v>
      </c>
      <c r="P21">
        <v>2</v>
      </c>
      <c r="Q21">
        <v>7</v>
      </c>
      <c r="R21">
        <v>5</v>
      </c>
      <c r="S21">
        <v>1</v>
      </c>
      <c r="T21">
        <v>0</v>
      </c>
      <c r="V21" t="b">
        <f t="shared" si="0"/>
        <v>1</v>
      </c>
      <c r="W21" t="b">
        <f t="shared" si="1"/>
        <v>1</v>
      </c>
      <c r="X21" t="b">
        <f t="shared" si="2"/>
        <v>1</v>
      </c>
      <c r="Y21" t="b">
        <f t="shared" si="3"/>
        <v>1</v>
      </c>
      <c r="Z21" t="b">
        <f t="shared" si="4"/>
        <v>1</v>
      </c>
      <c r="AA21" t="b">
        <f t="shared" si="5"/>
        <v>1</v>
      </c>
      <c r="AB21" t="b">
        <f t="shared" si="6"/>
        <v>1</v>
      </c>
      <c r="AC21" t="b">
        <f t="shared" si="7"/>
        <v>0</v>
      </c>
      <c r="AD21" t="b">
        <f t="shared" si="8"/>
        <v>0</v>
      </c>
      <c r="AE21" t="b">
        <f t="shared" si="9"/>
        <v>0</v>
      </c>
      <c r="AF21" t="b">
        <f t="shared" si="10"/>
        <v>0</v>
      </c>
      <c r="AG21" t="b">
        <f t="shared" si="11"/>
        <v>0</v>
      </c>
      <c r="AH21" t="b">
        <f t="shared" si="12"/>
        <v>0</v>
      </c>
    </row>
    <row r="22" spans="1:34" x14ac:dyDescent="0.2">
      <c r="A22" t="s">
        <v>127</v>
      </c>
      <c r="B22" t="s">
        <v>128</v>
      </c>
      <c r="C22" t="s">
        <v>128</v>
      </c>
      <c r="D22">
        <v>0</v>
      </c>
      <c r="E22">
        <v>2</v>
      </c>
      <c r="F22">
        <v>1</v>
      </c>
      <c r="G22">
        <v>2</v>
      </c>
      <c r="H22">
        <v>0</v>
      </c>
      <c r="I22">
        <v>0</v>
      </c>
      <c r="J22">
        <v>0</v>
      </c>
      <c r="K22">
        <v>0</v>
      </c>
      <c r="L22">
        <v>1</v>
      </c>
      <c r="M22">
        <v>2</v>
      </c>
      <c r="O22">
        <v>0</v>
      </c>
      <c r="P22">
        <v>0</v>
      </c>
      <c r="Q22">
        <v>3</v>
      </c>
      <c r="R22">
        <v>2</v>
      </c>
      <c r="S22">
        <v>7</v>
      </c>
      <c r="T22">
        <v>1</v>
      </c>
      <c r="V22" t="b">
        <f t="shared" si="0"/>
        <v>1</v>
      </c>
      <c r="W22" t="b">
        <f t="shared" si="1"/>
        <v>1</v>
      </c>
      <c r="X22" t="b">
        <f t="shared" si="2"/>
        <v>1</v>
      </c>
      <c r="Y22" t="b">
        <f t="shared" si="3"/>
        <v>0</v>
      </c>
      <c r="Z22" t="b">
        <f t="shared" si="4"/>
        <v>0</v>
      </c>
      <c r="AA22" t="b">
        <f t="shared" si="5"/>
        <v>0</v>
      </c>
      <c r="AB22" t="b">
        <f t="shared" si="6"/>
        <v>0</v>
      </c>
      <c r="AC22" t="b">
        <f t="shared" si="7"/>
        <v>0</v>
      </c>
      <c r="AD22" t="b">
        <f t="shared" si="8"/>
        <v>0</v>
      </c>
      <c r="AE22" t="b">
        <f t="shared" si="9"/>
        <v>0</v>
      </c>
      <c r="AF22" t="b">
        <f t="shared" si="10"/>
        <v>0</v>
      </c>
      <c r="AG22" t="b">
        <f t="shared" si="11"/>
        <v>0</v>
      </c>
      <c r="AH22" t="b">
        <f t="shared" si="12"/>
        <v>0</v>
      </c>
    </row>
    <row r="23" spans="1:34" x14ac:dyDescent="0.2">
      <c r="A23" t="s">
        <v>129</v>
      </c>
      <c r="B23" t="s">
        <v>128</v>
      </c>
      <c r="C23" t="s">
        <v>128</v>
      </c>
      <c r="D23">
        <v>0</v>
      </c>
      <c r="E23">
        <v>1</v>
      </c>
      <c r="F23">
        <v>1</v>
      </c>
      <c r="G23">
        <v>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O23">
        <v>0</v>
      </c>
      <c r="P23">
        <v>0</v>
      </c>
      <c r="Q23">
        <v>1</v>
      </c>
      <c r="R23">
        <v>2</v>
      </c>
      <c r="S23">
        <v>9</v>
      </c>
      <c r="T23">
        <v>1</v>
      </c>
      <c r="V23" t="b">
        <f t="shared" si="0"/>
        <v>1</v>
      </c>
      <c r="W23" t="b">
        <f t="shared" si="1"/>
        <v>0</v>
      </c>
      <c r="X23" t="b">
        <f t="shared" si="2"/>
        <v>0</v>
      </c>
      <c r="Y23" t="b">
        <f t="shared" si="3"/>
        <v>0</v>
      </c>
      <c r="Z23" t="b">
        <f t="shared" si="4"/>
        <v>0</v>
      </c>
      <c r="AA23" t="b">
        <f t="shared" si="5"/>
        <v>0</v>
      </c>
      <c r="AB23" t="b">
        <f t="shared" si="6"/>
        <v>0</v>
      </c>
      <c r="AC23" t="b">
        <f t="shared" si="7"/>
        <v>0</v>
      </c>
      <c r="AD23" t="b">
        <f t="shared" si="8"/>
        <v>0</v>
      </c>
      <c r="AE23" t="b">
        <f t="shared" si="9"/>
        <v>0</v>
      </c>
      <c r="AF23" t="b">
        <f t="shared" si="10"/>
        <v>0</v>
      </c>
      <c r="AG23" t="b">
        <f t="shared" si="11"/>
        <v>0</v>
      </c>
      <c r="AH23" t="b">
        <f t="shared" si="12"/>
        <v>0</v>
      </c>
    </row>
    <row r="24" spans="1:34" x14ac:dyDescent="0.2">
      <c r="A24" t="s">
        <v>130</v>
      </c>
      <c r="B24" t="s">
        <v>128</v>
      </c>
      <c r="C24" t="s">
        <v>128</v>
      </c>
      <c r="D24">
        <v>0</v>
      </c>
      <c r="E24">
        <v>1</v>
      </c>
      <c r="F24">
        <v>1</v>
      </c>
      <c r="G24">
        <v>2</v>
      </c>
      <c r="H24">
        <v>0</v>
      </c>
      <c r="I24">
        <v>1</v>
      </c>
      <c r="J24">
        <v>0</v>
      </c>
      <c r="K24">
        <v>1</v>
      </c>
      <c r="L24">
        <v>1</v>
      </c>
      <c r="M24">
        <v>1</v>
      </c>
      <c r="O24">
        <v>2</v>
      </c>
      <c r="P24">
        <v>0</v>
      </c>
      <c r="Q24">
        <v>2</v>
      </c>
      <c r="R24">
        <v>6</v>
      </c>
      <c r="S24">
        <v>4</v>
      </c>
      <c r="T24">
        <v>1</v>
      </c>
      <c r="V24" t="b">
        <f t="shared" si="0"/>
        <v>1</v>
      </c>
      <c r="W24" t="b">
        <f t="shared" si="1"/>
        <v>1</v>
      </c>
      <c r="X24" t="b">
        <f t="shared" si="2"/>
        <v>0</v>
      </c>
      <c r="Y24" t="b">
        <f t="shared" si="3"/>
        <v>0</v>
      </c>
      <c r="Z24" t="b">
        <f t="shared" si="4"/>
        <v>0</v>
      </c>
      <c r="AA24" t="b">
        <f t="shared" si="5"/>
        <v>0</v>
      </c>
      <c r="AB24" t="b">
        <f t="shared" si="6"/>
        <v>0</v>
      </c>
      <c r="AC24" t="b">
        <f t="shared" si="7"/>
        <v>0</v>
      </c>
      <c r="AD24" t="b">
        <f t="shared" si="8"/>
        <v>0</v>
      </c>
      <c r="AE24" t="b">
        <f t="shared" si="9"/>
        <v>0</v>
      </c>
      <c r="AF24" t="b">
        <f t="shared" si="10"/>
        <v>0</v>
      </c>
      <c r="AG24" t="b">
        <f t="shared" si="11"/>
        <v>0</v>
      </c>
      <c r="AH24" t="b">
        <f t="shared" si="12"/>
        <v>0</v>
      </c>
    </row>
    <row r="25" spans="1:34" x14ac:dyDescent="0.2">
      <c r="A25" t="s">
        <v>131</v>
      </c>
      <c r="B25" t="s">
        <v>128</v>
      </c>
      <c r="C25" t="s">
        <v>128</v>
      </c>
      <c r="D25">
        <v>0</v>
      </c>
      <c r="E25">
        <v>2</v>
      </c>
      <c r="F25">
        <v>1</v>
      </c>
      <c r="G25">
        <v>2</v>
      </c>
      <c r="H25">
        <v>1</v>
      </c>
      <c r="I25">
        <v>0</v>
      </c>
      <c r="J25">
        <v>1</v>
      </c>
      <c r="K25">
        <v>1</v>
      </c>
      <c r="L25">
        <v>2</v>
      </c>
      <c r="M25">
        <v>1</v>
      </c>
      <c r="O25">
        <v>2</v>
      </c>
      <c r="P25">
        <v>1</v>
      </c>
      <c r="Q25">
        <v>4</v>
      </c>
      <c r="R25">
        <v>6</v>
      </c>
      <c r="S25">
        <v>2</v>
      </c>
      <c r="T25">
        <v>1</v>
      </c>
      <c r="V25" t="b">
        <f t="shared" si="0"/>
        <v>1</v>
      </c>
      <c r="W25" t="b">
        <f t="shared" si="1"/>
        <v>1</v>
      </c>
      <c r="X25" t="b">
        <f t="shared" si="2"/>
        <v>1</v>
      </c>
      <c r="Y25" t="b">
        <f t="shared" si="3"/>
        <v>1</v>
      </c>
      <c r="Z25" t="b">
        <f t="shared" si="4"/>
        <v>0</v>
      </c>
      <c r="AA25" t="b">
        <f t="shared" si="5"/>
        <v>0</v>
      </c>
      <c r="AB25" t="b">
        <f t="shared" si="6"/>
        <v>0</v>
      </c>
      <c r="AC25" t="b">
        <f t="shared" si="7"/>
        <v>0</v>
      </c>
      <c r="AD25" t="b">
        <f t="shared" si="8"/>
        <v>0</v>
      </c>
      <c r="AE25" t="b">
        <f t="shared" si="9"/>
        <v>0</v>
      </c>
      <c r="AF25" t="b">
        <f t="shared" si="10"/>
        <v>0</v>
      </c>
      <c r="AG25" t="b">
        <f t="shared" si="11"/>
        <v>0</v>
      </c>
      <c r="AH25" t="b">
        <f t="shared" si="12"/>
        <v>0</v>
      </c>
    </row>
    <row r="26" spans="1:34" x14ac:dyDescent="0.2">
      <c r="A26" t="s">
        <v>132</v>
      </c>
      <c r="B26" t="s">
        <v>133</v>
      </c>
      <c r="C26" t="s">
        <v>133</v>
      </c>
      <c r="D26">
        <v>0</v>
      </c>
      <c r="E26">
        <v>0</v>
      </c>
      <c r="F26">
        <v>1</v>
      </c>
      <c r="G26">
        <v>2</v>
      </c>
      <c r="H26">
        <v>0</v>
      </c>
      <c r="I26">
        <v>0</v>
      </c>
      <c r="J26">
        <v>1</v>
      </c>
      <c r="K26">
        <v>1</v>
      </c>
      <c r="L26">
        <v>1</v>
      </c>
      <c r="M26">
        <v>1</v>
      </c>
      <c r="N26">
        <v>1</v>
      </c>
      <c r="O26">
        <v>2</v>
      </c>
      <c r="P26">
        <v>2</v>
      </c>
      <c r="Q26">
        <v>3</v>
      </c>
      <c r="R26">
        <v>6</v>
      </c>
      <c r="S26">
        <v>4</v>
      </c>
      <c r="T26">
        <v>0</v>
      </c>
      <c r="V26" t="b">
        <f t="shared" si="0"/>
        <v>1</v>
      </c>
      <c r="W26" t="b">
        <f t="shared" si="1"/>
        <v>1</v>
      </c>
      <c r="X26" t="b">
        <f t="shared" si="2"/>
        <v>1</v>
      </c>
      <c r="Y26" t="b">
        <f t="shared" si="3"/>
        <v>0</v>
      </c>
      <c r="Z26" t="b">
        <f t="shared" si="4"/>
        <v>0</v>
      </c>
      <c r="AA26" t="b">
        <f t="shared" si="5"/>
        <v>0</v>
      </c>
      <c r="AB26" t="b">
        <f t="shared" si="6"/>
        <v>0</v>
      </c>
      <c r="AC26" t="b">
        <f t="shared" si="7"/>
        <v>0</v>
      </c>
      <c r="AD26" t="b">
        <f t="shared" si="8"/>
        <v>0</v>
      </c>
      <c r="AE26" t="b">
        <f t="shared" si="9"/>
        <v>0</v>
      </c>
      <c r="AF26" t="b">
        <f t="shared" si="10"/>
        <v>0</v>
      </c>
      <c r="AG26" t="b">
        <f t="shared" si="11"/>
        <v>0</v>
      </c>
      <c r="AH26" t="b">
        <f t="shared" si="12"/>
        <v>0</v>
      </c>
    </row>
    <row r="27" spans="1:34" x14ac:dyDescent="0.2">
      <c r="A27" t="s">
        <v>134</v>
      </c>
      <c r="B27" t="s">
        <v>133</v>
      </c>
      <c r="C27" t="s">
        <v>133</v>
      </c>
      <c r="D27">
        <v>1</v>
      </c>
      <c r="E27">
        <v>2</v>
      </c>
      <c r="F27">
        <v>2</v>
      </c>
      <c r="G27">
        <v>2</v>
      </c>
      <c r="H27">
        <v>0</v>
      </c>
      <c r="I27">
        <v>1</v>
      </c>
      <c r="J27">
        <v>1</v>
      </c>
      <c r="K27">
        <v>2</v>
      </c>
      <c r="L27">
        <v>1</v>
      </c>
      <c r="M27">
        <v>2</v>
      </c>
      <c r="N27">
        <v>1</v>
      </c>
      <c r="O27">
        <v>2</v>
      </c>
      <c r="P27">
        <v>1</v>
      </c>
      <c r="Q27">
        <v>6</v>
      </c>
      <c r="R27">
        <v>6</v>
      </c>
      <c r="S27">
        <v>1</v>
      </c>
      <c r="T27">
        <v>0</v>
      </c>
      <c r="V27" t="b">
        <f t="shared" si="0"/>
        <v>1</v>
      </c>
      <c r="W27" t="b">
        <f t="shared" si="1"/>
        <v>1</v>
      </c>
      <c r="X27" t="b">
        <f t="shared" si="2"/>
        <v>1</v>
      </c>
      <c r="Y27" t="b">
        <f t="shared" si="3"/>
        <v>1</v>
      </c>
      <c r="Z27" t="b">
        <f t="shared" si="4"/>
        <v>1</v>
      </c>
      <c r="AA27" t="b">
        <f t="shared" si="5"/>
        <v>1</v>
      </c>
      <c r="AB27" t="b">
        <f t="shared" si="6"/>
        <v>0</v>
      </c>
      <c r="AC27" t="b">
        <f t="shared" si="7"/>
        <v>0</v>
      </c>
      <c r="AD27" t="b">
        <f t="shared" si="8"/>
        <v>0</v>
      </c>
      <c r="AE27" t="b">
        <f t="shared" si="9"/>
        <v>0</v>
      </c>
      <c r="AF27" t="b">
        <f t="shared" si="10"/>
        <v>0</v>
      </c>
      <c r="AG27" t="b">
        <f t="shared" si="11"/>
        <v>0</v>
      </c>
      <c r="AH27" t="b">
        <f t="shared" si="12"/>
        <v>0</v>
      </c>
    </row>
    <row r="28" spans="1:34" x14ac:dyDescent="0.2">
      <c r="A28" t="s">
        <v>135</v>
      </c>
      <c r="B28" t="s">
        <v>133</v>
      </c>
      <c r="C28" t="s">
        <v>133</v>
      </c>
      <c r="D28">
        <v>0</v>
      </c>
      <c r="E28">
        <v>2</v>
      </c>
      <c r="F28">
        <v>1</v>
      </c>
      <c r="G28">
        <v>2</v>
      </c>
      <c r="H28">
        <v>0</v>
      </c>
      <c r="I28">
        <v>0</v>
      </c>
      <c r="J28">
        <v>1</v>
      </c>
      <c r="K28">
        <v>1</v>
      </c>
      <c r="L28">
        <v>2</v>
      </c>
      <c r="M28">
        <v>2</v>
      </c>
      <c r="O28">
        <v>2</v>
      </c>
      <c r="P28">
        <v>1</v>
      </c>
      <c r="Q28">
        <v>5</v>
      </c>
      <c r="R28">
        <v>4</v>
      </c>
      <c r="S28">
        <v>3</v>
      </c>
      <c r="T28">
        <v>1</v>
      </c>
      <c r="V28" t="b">
        <f t="shared" si="0"/>
        <v>1</v>
      </c>
      <c r="W28" t="b">
        <f t="shared" si="1"/>
        <v>1</v>
      </c>
      <c r="X28" t="b">
        <f t="shared" si="2"/>
        <v>1</v>
      </c>
      <c r="Y28" t="b">
        <f t="shared" si="3"/>
        <v>1</v>
      </c>
      <c r="Z28" t="b">
        <f t="shared" si="4"/>
        <v>1</v>
      </c>
      <c r="AA28" t="b">
        <f t="shared" si="5"/>
        <v>0</v>
      </c>
      <c r="AB28" t="b">
        <f t="shared" si="6"/>
        <v>0</v>
      </c>
      <c r="AC28" t="b">
        <f t="shared" si="7"/>
        <v>0</v>
      </c>
      <c r="AD28" t="b">
        <f t="shared" si="8"/>
        <v>0</v>
      </c>
      <c r="AE28" t="b">
        <f t="shared" si="9"/>
        <v>0</v>
      </c>
      <c r="AF28" t="b">
        <f t="shared" si="10"/>
        <v>0</v>
      </c>
      <c r="AG28" t="b">
        <f t="shared" si="11"/>
        <v>0</v>
      </c>
      <c r="AH28" t="b">
        <f t="shared" si="12"/>
        <v>0</v>
      </c>
    </row>
    <row r="29" spans="1:34" x14ac:dyDescent="0.2">
      <c r="A29" t="s">
        <v>136</v>
      </c>
      <c r="B29" t="s">
        <v>137</v>
      </c>
      <c r="C29" t="s">
        <v>137</v>
      </c>
      <c r="D29">
        <v>0</v>
      </c>
      <c r="E29">
        <v>2</v>
      </c>
      <c r="F29">
        <v>1</v>
      </c>
      <c r="G29">
        <v>1</v>
      </c>
      <c r="H29">
        <v>0</v>
      </c>
      <c r="I29">
        <v>0</v>
      </c>
      <c r="J29">
        <v>0</v>
      </c>
      <c r="K29">
        <v>0</v>
      </c>
      <c r="L29">
        <v>2</v>
      </c>
      <c r="M29">
        <v>1</v>
      </c>
      <c r="O29">
        <v>2</v>
      </c>
      <c r="P29">
        <v>0</v>
      </c>
      <c r="Q29">
        <v>3</v>
      </c>
      <c r="R29">
        <v>3</v>
      </c>
      <c r="S29">
        <v>6</v>
      </c>
      <c r="T29">
        <v>1</v>
      </c>
      <c r="V29" t="b">
        <f t="shared" si="0"/>
        <v>1</v>
      </c>
      <c r="W29" t="b">
        <f t="shared" si="1"/>
        <v>1</v>
      </c>
      <c r="X29" t="b">
        <f t="shared" si="2"/>
        <v>1</v>
      </c>
      <c r="Y29" t="b">
        <f t="shared" si="3"/>
        <v>0</v>
      </c>
      <c r="Z29" t="b">
        <f t="shared" si="4"/>
        <v>0</v>
      </c>
      <c r="AA29" t="b">
        <f t="shared" si="5"/>
        <v>0</v>
      </c>
      <c r="AB29" t="b">
        <f t="shared" si="6"/>
        <v>0</v>
      </c>
      <c r="AC29" t="b">
        <f t="shared" si="7"/>
        <v>0</v>
      </c>
      <c r="AD29" t="b">
        <f t="shared" si="8"/>
        <v>0</v>
      </c>
      <c r="AE29" t="b">
        <f t="shared" si="9"/>
        <v>0</v>
      </c>
      <c r="AF29" t="b">
        <f t="shared" si="10"/>
        <v>0</v>
      </c>
      <c r="AG29" t="b">
        <f t="shared" si="11"/>
        <v>0</v>
      </c>
      <c r="AH29" t="b">
        <f t="shared" si="12"/>
        <v>0</v>
      </c>
    </row>
    <row r="30" spans="1:34" x14ac:dyDescent="0.2">
      <c r="A30" t="s">
        <v>138</v>
      </c>
      <c r="B30" t="s">
        <v>139</v>
      </c>
      <c r="C30" t="s">
        <v>139</v>
      </c>
      <c r="D30">
        <v>1</v>
      </c>
      <c r="E30">
        <v>2</v>
      </c>
      <c r="F30">
        <v>2</v>
      </c>
      <c r="G30">
        <v>2</v>
      </c>
      <c r="H30">
        <v>2</v>
      </c>
      <c r="I30">
        <v>2</v>
      </c>
      <c r="J30">
        <v>1</v>
      </c>
      <c r="K30">
        <v>2</v>
      </c>
      <c r="L30">
        <v>1</v>
      </c>
      <c r="M30">
        <v>2</v>
      </c>
      <c r="N30">
        <v>0</v>
      </c>
      <c r="O30">
        <v>2</v>
      </c>
      <c r="P30">
        <v>1</v>
      </c>
      <c r="Q30">
        <v>8</v>
      </c>
      <c r="R30">
        <v>4</v>
      </c>
      <c r="S30">
        <v>1</v>
      </c>
      <c r="T30">
        <v>0</v>
      </c>
      <c r="V30" t="b">
        <f t="shared" si="0"/>
        <v>1</v>
      </c>
      <c r="W30" t="b">
        <f t="shared" si="1"/>
        <v>1</v>
      </c>
      <c r="X30" t="b">
        <f t="shared" si="2"/>
        <v>1</v>
      </c>
      <c r="Y30" t="b">
        <f t="shared" si="3"/>
        <v>1</v>
      </c>
      <c r="Z30" t="b">
        <f t="shared" si="4"/>
        <v>1</v>
      </c>
      <c r="AA30" t="b">
        <f t="shared" si="5"/>
        <v>1</v>
      </c>
      <c r="AB30" t="b">
        <f t="shared" si="6"/>
        <v>1</v>
      </c>
      <c r="AC30" t="b">
        <f t="shared" si="7"/>
        <v>1</v>
      </c>
      <c r="AD30" t="b">
        <f t="shared" si="8"/>
        <v>0</v>
      </c>
      <c r="AE30" t="b">
        <f t="shared" si="9"/>
        <v>0</v>
      </c>
      <c r="AF30" t="b">
        <f t="shared" si="10"/>
        <v>0</v>
      </c>
      <c r="AG30" t="b">
        <f t="shared" si="11"/>
        <v>0</v>
      </c>
      <c r="AH30" t="b">
        <f t="shared" si="12"/>
        <v>0</v>
      </c>
    </row>
    <row r="31" spans="1:34" x14ac:dyDescent="0.2">
      <c r="A31" t="s">
        <v>140</v>
      </c>
      <c r="B31" t="s">
        <v>139</v>
      </c>
      <c r="C31" t="s">
        <v>139</v>
      </c>
      <c r="D31">
        <v>1</v>
      </c>
      <c r="E31">
        <v>1</v>
      </c>
      <c r="F31">
        <v>1</v>
      </c>
      <c r="G31">
        <v>2</v>
      </c>
      <c r="H31">
        <v>0</v>
      </c>
      <c r="I31">
        <v>1</v>
      </c>
      <c r="J31">
        <v>1</v>
      </c>
      <c r="K31">
        <v>1</v>
      </c>
      <c r="L31">
        <v>1</v>
      </c>
      <c r="M31">
        <v>2</v>
      </c>
      <c r="N31">
        <v>0</v>
      </c>
      <c r="O31">
        <v>2</v>
      </c>
      <c r="P31">
        <v>1</v>
      </c>
      <c r="Q31">
        <v>3</v>
      </c>
      <c r="R31">
        <v>8</v>
      </c>
      <c r="S31">
        <v>2</v>
      </c>
      <c r="T31">
        <v>0</v>
      </c>
      <c r="V31" t="b">
        <f t="shared" si="0"/>
        <v>1</v>
      </c>
      <c r="W31" t="b">
        <f t="shared" si="1"/>
        <v>1</v>
      </c>
      <c r="X31" t="b">
        <f t="shared" si="2"/>
        <v>1</v>
      </c>
      <c r="Y31" t="b">
        <f t="shared" si="3"/>
        <v>0</v>
      </c>
      <c r="Z31" t="b">
        <f t="shared" si="4"/>
        <v>0</v>
      </c>
      <c r="AA31" t="b">
        <f t="shared" si="5"/>
        <v>0</v>
      </c>
      <c r="AB31" t="b">
        <f t="shared" si="6"/>
        <v>0</v>
      </c>
      <c r="AC31" t="b">
        <f t="shared" si="7"/>
        <v>0</v>
      </c>
      <c r="AD31" t="b">
        <f t="shared" si="8"/>
        <v>0</v>
      </c>
      <c r="AE31" t="b">
        <f t="shared" si="9"/>
        <v>0</v>
      </c>
      <c r="AF31" t="b">
        <f t="shared" si="10"/>
        <v>0</v>
      </c>
      <c r="AG31" t="b">
        <f t="shared" si="11"/>
        <v>0</v>
      </c>
      <c r="AH31" t="b">
        <f t="shared" si="12"/>
        <v>0</v>
      </c>
    </row>
    <row r="32" spans="1:34" x14ac:dyDescent="0.2">
      <c r="A32" t="s">
        <v>141</v>
      </c>
      <c r="B32" t="s">
        <v>139</v>
      </c>
      <c r="C32" t="s">
        <v>139</v>
      </c>
      <c r="D32">
        <v>1</v>
      </c>
      <c r="E32">
        <v>2</v>
      </c>
      <c r="F32">
        <v>2</v>
      </c>
      <c r="G32">
        <v>2</v>
      </c>
      <c r="H32">
        <v>1</v>
      </c>
      <c r="I32">
        <v>1</v>
      </c>
      <c r="J32">
        <v>1</v>
      </c>
      <c r="K32">
        <v>2</v>
      </c>
      <c r="L32">
        <v>1</v>
      </c>
      <c r="M32">
        <v>2</v>
      </c>
      <c r="O32">
        <v>2</v>
      </c>
      <c r="P32">
        <v>1</v>
      </c>
      <c r="Q32">
        <v>6</v>
      </c>
      <c r="R32">
        <v>6</v>
      </c>
      <c r="S32">
        <v>0</v>
      </c>
      <c r="T32">
        <v>1</v>
      </c>
      <c r="V32" t="b">
        <f t="shared" si="0"/>
        <v>1</v>
      </c>
      <c r="W32" t="b">
        <f t="shared" si="1"/>
        <v>1</v>
      </c>
      <c r="X32" t="b">
        <f t="shared" si="2"/>
        <v>1</v>
      </c>
      <c r="Y32" t="b">
        <f t="shared" si="3"/>
        <v>1</v>
      </c>
      <c r="Z32" t="b">
        <f t="shared" si="4"/>
        <v>1</v>
      </c>
      <c r="AA32" t="b">
        <f t="shared" si="5"/>
        <v>1</v>
      </c>
      <c r="AB32" t="b">
        <f t="shared" si="6"/>
        <v>0</v>
      </c>
      <c r="AC32" t="b">
        <f t="shared" si="7"/>
        <v>0</v>
      </c>
      <c r="AD32" t="b">
        <f t="shared" si="8"/>
        <v>0</v>
      </c>
      <c r="AE32" t="b">
        <f t="shared" si="9"/>
        <v>0</v>
      </c>
      <c r="AF32" t="b">
        <f t="shared" si="10"/>
        <v>0</v>
      </c>
      <c r="AG32" t="b">
        <f t="shared" si="11"/>
        <v>0</v>
      </c>
      <c r="AH32" t="b">
        <f t="shared" si="12"/>
        <v>0</v>
      </c>
    </row>
    <row r="33" spans="1:34" x14ac:dyDescent="0.2">
      <c r="A33" t="s">
        <v>142</v>
      </c>
      <c r="B33" t="s">
        <v>139</v>
      </c>
      <c r="C33" t="s">
        <v>139</v>
      </c>
      <c r="D33">
        <v>1</v>
      </c>
      <c r="E33">
        <v>1</v>
      </c>
      <c r="F33">
        <v>2</v>
      </c>
      <c r="G33">
        <v>2</v>
      </c>
      <c r="H33">
        <v>2</v>
      </c>
      <c r="I33">
        <v>2</v>
      </c>
      <c r="J33">
        <v>2</v>
      </c>
      <c r="K33">
        <v>1</v>
      </c>
      <c r="L33">
        <v>1</v>
      </c>
      <c r="M33">
        <v>2</v>
      </c>
      <c r="N33">
        <v>0</v>
      </c>
      <c r="O33">
        <v>2</v>
      </c>
      <c r="P33">
        <v>1</v>
      </c>
      <c r="Q33">
        <v>7</v>
      </c>
      <c r="R33">
        <v>5</v>
      </c>
      <c r="S33">
        <v>1</v>
      </c>
      <c r="T33">
        <v>0</v>
      </c>
      <c r="V33" t="b">
        <f t="shared" si="0"/>
        <v>1</v>
      </c>
      <c r="W33" t="b">
        <f t="shared" si="1"/>
        <v>1</v>
      </c>
      <c r="X33" t="b">
        <f t="shared" si="2"/>
        <v>1</v>
      </c>
      <c r="Y33" t="b">
        <f t="shared" si="3"/>
        <v>1</v>
      </c>
      <c r="Z33" t="b">
        <f t="shared" si="4"/>
        <v>1</v>
      </c>
      <c r="AA33" t="b">
        <f t="shared" si="5"/>
        <v>1</v>
      </c>
      <c r="AB33" t="b">
        <f t="shared" si="6"/>
        <v>1</v>
      </c>
      <c r="AC33" t="b">
        <f t="shared" si="7"/>
        <v>0</v>
      </c>
      <c r="AD33" t="b">
        <f t="shared" si="8"/>
        <v>0</v>
      </c>
      <c r="AE33" t="b">
        <f t="shared" si="9"/>
        <v>0</v>
      </c>
      <c r="AF33" t="b">
        <f t="shared" si="10"/>
        <v>0</v>
      </c>
      <c r="AG33" t="b">
        <f t="shared" si="11"/>
        <v>0</v>
      </c>
      <c r="AH33" t="b">
        <f t="shared" si="12"/>
        <v>0</v>
      </c>
    </row>
    <row r="34" spans="1:34" x14ac:dyDescent="0.2">
      <c r="A34" t="s">
        <v>143</v>
      </c>
      <c r="B34" t="s">
        <v>139</v>
      </c>
      <c r="C34" t="s">
        <v>139</v>
      </c>
      <c r="D34">
        <v>1</v>
      </c>
      <c r="E34">
        <v>0</v>
      </c>
      <c r="F34">
        <v>2</v>
      </c>
      <c r="G34">
        <v>2</v>
      </c>
      <c r="H34">
        <v>2</v>
      </c>
      <c r="I34">
        <v>1</v>
      </c>
      <c r="J34">
        <v>2</v>
      </c>
      <c r="K34">
        <v>0</v>
      </c>
      <c r="L34">
        <v>1</v>
      </c>
      <c r="M34">
        <v>2</v>
      </c>
      <c r="O34">
        <v>2</v>
      </c>
      <c r="P34">
        <v>1</v>
      </c>
      <c r="Q34">
        <v>6</v>
      </c>
      <c r="R34">
        <v>4</v>
      </c>
      <c r="S34">
        <v>2</v>
      </c>
      <c r="T34">
        <v>1</v>
      </c>
      <c r="V34" t="b">
        <f t="shared" si="0"/>
        <v>1</v>
      </c>
      <c r="W34" t="b">
        <f t="shared" si="1"/>
        <v>1</v>
      </c>
      <c r="X34" t="b">
        <f t="shared" si="2"/>
        <v>1</v>
      </c>
      <c r="Y34" t="b">
        <f t="shared" si="3"/>
        <v>1</v>
      </c>
      <c r="Z34" t="b">
        <f t="shared" si="4"/>
        <v>1</v>
      </c>
      <c r="AA34" t="b">
        <f t="shared" si="5"/>
        <v>1</v>
      </c>
      <c r="AB34" t="b">
        <f t="shared" si="6"/>
        <v>0</v>
      </c>
      <c r="AC34" t="b">
        <f t="shared" si="7"/>
        <v>0</v>
      </c>
      <c r="AD34" t="b">
        <f t="shared" si="8"/>
        <v>0</v>
      </c>
      <c r="AE34" t="b">
        <f t="shared" si="9"/>
        <v>0</v>
      </c>
      <c r="AF34" t="b">
        <f t="shared" si="10"/>
        <v>0</v>
      </c>
      <c r="AG34" t="b">
        <f t="shared" si="11"/>
        <v>0</v>
      </c>
      <c r="AH34" t="b">
        <f t="shared" si="12"/>
        <v>0</v>
      </c>
    </row>
    <row r="35" spans="1:34" x14ac:dyDescent="0.2">
      <c r="A35" t="s">
        <v>125</v>
      </c>
      <c r="B35" t="s">
        <v>139</v>
      </c>
      <c r="C35" t="s">
        <v>139</v>
      </c>
      <c r="D35">
        <v>1</v>
      </c>
      <c r="E35">
        <v>0</v>
      </c>
      <c r="F35">
        <v>2</v>
      </c>
      <c r="G35">
        <v>2</v>
      </c>
      <c r="H35">
        <v>1</v>
      </c>
      <c r="I35">
        <v>1</v>
      </c>
      <c r="J35">
        <v>2</v>
      </c>
      <c r="K35">
        <v>0</v>
      </c>
      <c r="L35">
        <v>1</v>
      </c>
      <c r="M35">
        <v>2</v>
      </c>
      <c r="O35">
        <v>2</v>
      </c>
      <c r="P35">
        <v>1</v>
      </c>
      <c r="Q35">
        <v>5</v>
      </c>
      <c r="R35">
        <v>5</v>
      </c>
      <c r="S35">
        <v>2</v>
      </c>
      <c r="T35">
        <v>1</v>
      </c>
      <c r="V35" t="b">
        <f t="shared" si="0"/>
        <v>1</v>
      </c>
      <c r="W35" t="b">
        <f t="shared" si="1"/>
        <v>1</v>
      </c>
      <c r="X35" t="b">
        <f t="shared" si="2"/>
        <v>1</v>
      </c>
      <c r="Y35" t="b">
        <f t="shared" si="3"/>
        <v>1</v>
      </c>
      <c r="Z35" t="b">
        <f t="shared" si="4"/>
        <v>1</v>
      </c>
      <c r="AA35" t="b">
        <f t="shared" si="5"/>
        <v>0</v>
      </c>
      <c r="AB35" t="b">
        <f t="shared" si="6"/>
        <v>0</v>
      </c>
      <c r="AC35" t="b">
        <f t="shared" si="7"/>
        <v>0</v>
      </c>
      <c r="AD35" t="b">
        <f t="shared" si="8"/>
        <v>0</v>
      </c>
      <c r="AE35" t="b">
        <f t="shared" si="9"/>
        <v>0</v>
      </c>
      <c r="AF35" t="b">
        <f t="shared" si="10"/>
        <v>0</v>
      </c>
      <c r="AG35" t="b">
        <f t="shared" si="11"/>
        <v>0</v>
      </c>
      <c r="AH35" t="b">
        <f t="shared" si="12"/>
        <v>0</v>
      </c>
    </row>
    <row r="36" spans="1:34" x14ac:dyDescent="0.2">
      <c r="A36" t="s">
        <v>144</v>
      </c>
      <c r="B36" t="s">
        <v>139</v>
      </c>
      <c r="C36" t="s">
        <v>139</v>
      </c>
      <c r="D36">
        <v>0</v>
      </c>
      <c r="E36">
        <v>1</v>
      </c>
      <c r="F36">
        <v>2</v>
      </c>
      <c r="G36">
        <v>1</v>
      </c>
      <c r="H36">
        <v>0</v>
      </c>
      <c r="I36">
        <v>1</v>
      </c>
      <c r="J36">
        <v>1</v>
      </c>
      <c r="K36">
        <v>0</v>
      </c>
      <c r="L36">
        <v>1</v>
      </c>
      <c r="M36">
        <v>0</v>
      </c>
      <c r="O36">
        <v>2</v>
      </c>
      <c r="P36">
        <v>0</v>
      </c>
      <c r="Q36">
        <v>2</v>
      </c>
      <c r="R36">
        <v>5</v>
      </c>
      <c r="S36">
        <v>5</v>
      </c>
      <c r="T36">
        <v>1</v>
      </c>
      <c r="V36" t="b">
        <f t="shared" si="0"/>
        <v>1</v>
      </c>
      <c r="W36" t="b">
        <f t="shared" si="1"/>
        <v>1</v>
      </c>
      <c r="X36" t="b">
        <f t="shared" si="2"/>
        <v>0</v>
      </c>
      <c r="Y36" t="b">
        <f t="shared" si="3"/>
        <v>0</v>
      </c>
      <c r="Z36" t="b">
        <f t="shared" si="4"/>
        <v>0</v>
      </c>
      <c r="AA36" t="b">
        <f t="shared" si="5"/>
        <v>0</v>
      </c>
      <c r="AB36" t="b">
        <f t="shared" si="6"/>
        <v>0</v>
      </c>
      <c r="AC36" t="b">
        <f t="shared" si="7"/>
        <v>0</v>
      </c>
      <c r="AD36" t="b">
        <f t="shared" si="8"/>
        <v>0</v>
      </c>
      <c r="AE36" t="b">
        <f t="shared" si="9"/>
        <v>0</v>
      </c>
      <c r="AF36" t="b">
        <f t="shared" si="10"/>
        <v>0</v>
      </c>
      <c r="AG36" t="b">
        <f t="shared" si="11"/>
        <v>0</v>
      </c>
      <c r="AH36" t="b">
        <f t="shared" si="12"/>
        <v>0</v>
      </c>
    </row>
    <row r="37" spans="1:34" x14ac:dyDescent="0.2">
      <c r="A37" t="s">
        <v>145</v>
      </c>
      <c r="B37" t="s">
        <v>139</v>
      </c>
      <c r="C37" t="s">
        <v>139</v>
      </c>
      <c r="D37">
        <v>0</v>
      </c>
      <c r="E37">
        <v>0</v>
      </c>
      <c r="F37">
        <v>0</v>
      </c>
      <c r="G37">
        <v>0</v>
      </c>
      <c r="H37">
        <v>0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12</v>
      </c>
      <c r="T37">
        <v>0</v>
      </c>
      <c r="V37" t="b">
        <f t="shared" si="0"/>
        <v>0</v>
      </c>
      <c r="W37" t="b">
        <f t="shared" si="1"/>
        <v>0</v>
      </c>
      <c r="X37" t="b">
        <f t="shared" si="2"/>
        <v>0</v>
      </c>
      <c r="Y37" t="b">
        <f t="shared" si="3"/>
        <v>0</v>
      </c>
      <c r="Z37" t="b">
        <f t="shared" si="4"/>
        <v>0</v>
      </c>
      <c r="AA37" t="b">
        <f t="shared" si="5"/>
        <v>0</v>
      </c>
      <c r="AB37" t="b">
        <f t="shared" si="6"/>
        <v>0</v>
      </c>
      <c r="AC37" t="b">
        <f t="shared" si="7"/>
        <v>0</v>
      </c>
      <c r="AD37" t="b">
        <f t="shared" si="8"/>
        <v>0</v>
      </c>
      <c r="AE37" t="b">
        <f t="shared" si="9"/>
        <v>0</v>
      </c>
      <c r="AF37" t="b">
        <f t="shared" si="10"/>
        <v>0</v>
      </c>
      <c r="AG37" t="b">
        <f t="shared" si="11"/>
        <v>0</v>
      </c>
      <c r="AH37" t="b">
        <f t="shared" si="12"/>
        <v>0</v>
      </c>
    </row>
    <row r="38" spans="1:34" x14ac:dyDescent="0.2">
      <c r="A38" t="s">
        <v>123</v>
      </c>
      <c r="B38" t="s">
        <v>146</v>
      </c>
      <c r="C38" t="s">
        <v>146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13</v>
      </c>
      <c r="T38">
        <v>0</v>
      </c>
      <c r="V38" t="b">
        <f t="shared" si="0"/>
        <v>0</v>
      </c>
      <c r="W38" t="b">
        <f t="shared" si="1"/>
        <v>0</v>
      </c>
      <c r="X38" t="b">
        <f t="shared" si="2"/>
        <v>0</v>
      </c>
      <c r="Y38" t="b">
        <f t="shared" si="3"/>
        <v>0</v>
      </c>
      <c r="Z38" t="b">
        <f t="shared" si="4"/>
        <v>0</v>
      </c>
      <c r="AA38" t="b">
        <f t="shared" si="5"/>
        <v>0</v>
      </c>
      <c r="AB38" t="b">
        <f t="shared" si="6"/>
        <v>0</v>
      </c>
      <c r="AC38" t="b">
        <f t="shared" si="7"/>
        <v>0</v>
      </c>
      <c r="AD38" t="b">
        <f t="shared" si="8"/>
        <v>0</v>
      </c>
      <c r="AE38" t="b">
        <f t="shared" si="9"/>
        <v>0</v>
      </c>
      <c r="AF38" t="b">
        <f t="shared" si="10"/>
        <v>0</v>
      </c>
      <c r="AG38" t="b">
        <f t="shared" si="11"/>
        <v>0</v>
      </c>
      <c r="AH38" t="b">
        <f t="shared" si="12"/>
        <v>0</v>
      </c>
    </row>
    <row r="39" spans="1:34" x14ac:dyDescent="0.2">
      <c r="A39" t="s">
        <v>142</v>
      </c>
      <c r="B39" t="s">
        <v>69</v>
      </c>
      <c r="C39" t="s">
        <v>69</v>
      </c>
      <c r="D39">
        <v>1</v>
      </c>
      <c r="E39">
        <v>0</v>
      </c>
      <c r="F39">
        <v>2</v>
      </c>
      <c r="G39">
        <v>2</v>
      </c>
      <c r="H39">
        <v>0</v>
      </c>
      <c r="I39">
        <v>0</v>
      </c>
      <c r="J39">
        <v>1</v>
      </c>
      <c r="K39">
        <v>1</v>
      </c>
      <c r="L39">
        <v>1</v>
      </c>
      <c r="M39">
        <v>2</v>
      </c>
      <c r="N39">
        <v>1</v>
      </c>
      <c r="O39">
        <v>2</v>
      </c>
      <c r="P39">
        <v>0</v>
      </c>
      <c r="Q39">
        <v>4</v>
      </c>
      <c r="R39">
        <v>5</v>
      </c>
      <c r="S39">
        <v>4</v>
      </c>
      <c r="T39">
        <v>0</v>
      </c>
      <c r="V39" t="b">
        <f t="shared" si="0"/>
        <v>1</v>
      </c>
      <c r="W39" t="b">
        <f t="shared" si="1"/>
        <v>1</v>
      </c>
      <c r="X39" t="b">
        <f t="shared" si="2"/>
        <v>1</v>
      </c>
      <c r="Y39" t="b">
        <f t="shared" si="3"/>
        <v>1</v>
      </c>
      <c r="Z39" t="b">
        <f t="shared" si="4"/>
        <v>0</v>
      </c>
      <c r="AA39" t="b">
        <f t="shared" si="5"/>
        <v>0</v>
      </c>
      <c r="AB39" t="b">
        <f t="shared" si="6"/>
        <v>0</v>
      </c>
      <c r="AC39" t="b">
        <f t="shared" si="7"/>
        <v>0</v>
      </c>
      <c r="AD39" t="b">
        <f t="shared" si="8"/>
        <v>0</v>
      </c>
      <c r="AE39" t="b">
        <f t="shared" si="9"/>
        <v>0</v>
      </c>
      <c r="AF39" t="b">
        <f t="shared" si="10"/>
        <v>0</v>
      </c>
      <c r="AG39" t="b">
        <f t="shared" si="11"/>
        <v>0</v>
      </c>
      <c r="AH39" t="b">
        <f t="shared" si="12"/>
        <v>0</v>
      </c>
    </row>
    <row r="40" spans="1:34" x14ac:dyDescent="0.2">
      <c r="A40" t="s">
        <v>140</v>
      </c>
      <c r="B40" t="s">
        <v>69</v>
      </c>
      <c r="C40" t="s">
        <v>69</v>
      </c>
      <c r="D40">
        <v>0</v>
      </c>
      <c r="E40">
        <v>0</v>
      </c>
      <c r="F40">
        <v>1</v>
      </c>
      <c r="G40">
        <v>2</v>
      </c>
      <c r="H40">
        <v>0</v>
      </c>
      <c r="I40">
        <v>1</v>
      </c>
      <c r="J40">
        <v>1</v>
      </c>
      <c r="K40">
        <v>0</v>
      </c>
      <c r="L40">
        <v>1</v>
      </c>
      <c r="M40">
        <v>1</v>
      </c>
      <c r="O40">
        <v>2</v>
      </c>
      <c r="P40">
        <v>0</v>
      </c>
      <c r="Q40">
        <v>2</v>
      </c>
      <c r="R40">
        <v>5</v>
      </c>
      <c r="S40">
        <v>5</v>
      </c>
      <c r="T40">
        <v>1</v>
      </c>
      <c r="V40" t="b">
        <f t="shared" si="0"/>
        <v>1</v>
      </c>
      <c r="W40" t="b">
        <f t="shared" si="1"/>
        <v>1</v>
      </c>
      <c r="X40" t="b">
        <f t="shared" si="2"/>
        <v>0</v>
      </c>
      <c r="Y40" t="b">
        <f t="shared" si="3"/>
        <v>0</v>
      </c>
      <c r="Z40" t="b">
        <f t="shared" si="4"/>
        <v>0</v>
      </c>
      <c r="AA40" t="b">
        <f t="shared" si="5"/>
        <v>0</v>
      </c>
      <c r="AB40" t="b">
        <f t="shared" si="6"/>
        <v>0</v>
      </c>
      <c r="AC40" t="b">
        <f t="shared" si="7"/>
        <v>0</v>
      </c>
      <c r="AD40" t="b">
        <f t="shared" si="8"/>
        <v>0</v>
      </c>
      <c r="AE40" t="b">
        <f t="shared" si="9"/>
        <v>0</v>
      </c>
      <c r="AF40" t="b">
        <f t="shared" si="10"/>
        <v>0</v>
      </c>
      <c r="AG40" t="b">
        <f t="shared" si="11"/>
        <v>0</v>
      </c>
      <c r="AH40" t="b">
        <f t="shared" si="12"/>
        <v>0</v>
      </c>
    </row>
    <row r="41" spans="1:34" x14ac:dyDescent="0.2">
      <c r="A41" t="s">
        <v>125</v>
      </c>
      <c r="B41" t="s">
        <v>69</v>
      </c>
      <c r="C41" t="s">
        <v>69</v>
      </c>
      <c r="D41">
        <v>2</v>
      </c>
      <c r="E41">
        <v>0</v>
      </c>
      <c r="F41">
        <v>2</v>
      </c>
      <c r="G41">
        <v>2</v>
      </c>
      <c r="H41">
        <v>0</v>
      </c>
      <c r="I41">
        <v>1</v>
      </c>
      <c r="J41">
        <v>2</v>
      </c>
      <c r="K41">
        <v>1</v>
      </c>
      <c r="L41">
        <v>1</v>
      </c>
      <c r="M41">
        <v>2</v>
      </c>
      <c r="N41">
        <v>1</v>
      </c>
      <c r="O41">
        <v>2</v>
      </c>
      <c r="P41">
        <v>1</v>
      </c>
      <c r="Q41">
        <v>6</v>
      </c>
      <c r="R41">
        <v>5</v>
      </c>
      <c r="S41">
        <v>2</v>
      </c>
      <c r="T41">
        <v>0</v>
      </c>
      <c r="V41" t="b">
        <f t="shared" si="0"/>
        <v>1</v>
      </c>
      <c r="W41" t="b">
        <f t="shared" si="1"/>
        <v>1</v>
      </c>
      <c r="X41" t="b">
        <f t="shared" si="2"/>
        <v>1</v>
      </c>
      <c r="Y41" t="b">
        <f t="shared" si="3"/>
        <v>1</v>
      </c>
      <c r="Z41" t="b">
        <f t="shared" si="4"/>
        <v>1</v>
      </c>
      <c r="AA41" t="b">
        <f t="shared" si="5"/>
        <v>1</v>
      </c>
      <c r="AB41" t="b">
        <f t="shared" si="6"/>
        <v>0</v>
      </c>
      <c r="AC41" t="b">
        <f t="shared" si="7"/>
        <v>0</v>
      </c>
      <c r="AD41" t="b">
        <f t="shared" si="8"/>
        <v>0</v>
      </c>
      <c r="AE41" t="b">
        <f t="shared" si="9"/>
        <v>0</v>
      </c>
      <c r="AF41" t="b">
        <f t="shared" si="10"/>
        <v>0</v>
      </c>
      <c r="AG41" t="b">
        <f t="shared" si="11"/>
        <v>0</v>
      </c>
      <c r="AH41" t="b">
        <f t="shared" si="12"/>
        <v>0</v>
      </c>
    </row>
    <row r="42" spans="1:34" x14ac:dyDescent="0.2">
      <c r="A42" t="s">
        <v>147</v>
      </c>
      <c r="B42" t="s">
        <v>69</v>
      </c>
      <c r="C42" t="s">
        <v>69</v>
      </c>
      <c r="E42">
        <v>1</v>
      </c>
      <c r="F42">
        <v>2</v>
      </c>
      <c r="G42">
        <v>0</v>
      </c>
      <c r="H42">
        <v>0</v>
      </c>
      <c r="I42">
        <v>0</v>
      </c>
      <c r="J42">
        <v>1</v>
      </c>
      <c r="K42">
        <v>0</v>
      </c>
      <c r="L42">
        <v>2</v>
      </c>
      <c r="M42">
        <v>0</v>
      </c>
      <c r="P42">
        <v>0</v>
      </c>
      <c r="Q42">
        <v>2</v>
      </c>
      <c r="R42">
        <v>2</v>
      </c>
      <c r="S42">
        <v>6</v>
      </c>
      <c r="T42">
        <v>3</v>
      </c>
      <c r="V42" t="b">
        <f t="shared" si="0"/>
        <v>1</v>
      </c>
      <c r="W42" t="b">
        <f t="shared" si="1"/>
        <v>1</v>
      </c>
      <c r="X42" t="b">
        <f t="shared" si="2"/>
        <v>0</v>
      </c>
      <c r="Y42" t="b">
        <f t="shared" si="3"/>
        <v>0</v>
      </c>
      <c r="Z42" t="b">
        <f t="shared" si="4"/>
        <v>0</v>
      </c>
      <c r="AA42" t="b">
        <f t="shared" si="5"/>
        <v>0</v>
      </c>
      <c r="AB42" t="b">
        <f t="shared" si="6"/>
        <v>0</v>
      </c>
      <c r="AC42" t="b">
        <f t="shared" si="7"/>
        <v>0</v>
      </c>
      <c r="AD42" t="b">
        <f t="shared" si="8"/>
        <v>0</v>
      </c>
      <c r="AE42" t="b">
        <f t="shared" si="9"/>
        <v>0</v>
      </c>
      <c r="AF42" t="b">
        <f t="shared" si="10"/>
        <v>0</v>
      </c>
      <c r="AG42" t="b">
        <f t="shared" si="11"/>
        <v>0</v>
      </c>
      <c r="AH42" t="b">
        <f t="shared" si="12"/>
        <v>0</v>
      </c>
    </row>
    <row r="43" spans="1:34" x14ac:dyDescent="0.2">
      <c r="A43" t="s">
        <v>148</v>
      </c>
      <c r="B43" t="s">
        <v>69</v>
      </c>
      <c r="C43" t="s">
        <v>69</v>
      </c>
      <c r="D43">
        <v>1</v>
      </c>
      <c r="E43">
        <v>2</v>
      </c>
      <c r="F43">
        <v>2</v>
      </c>
      <c r="G43">
        <v>2</v>
      </c>
      <c r="H43">
        <v>2</v>
      </c>
      <c r="I43">
        <v>0</v>
      </c>
      <c r="J43">
        <v>2</v>
      </c>
      <c r="K43">
        <v>2</v>
      </c>
      <c r="L43">
        <v>1</v>
      </c>
      <c r="M43">
        <v>2</v>
      </c>
      <c r="N43">
        <v>1</v>
      </c>
      <c r="O43">
        <v>2</v>
      </c>
      <c r="P43">
        <v>2</v>
      </c>
      <c r="Q43">
        <v>9</v>
      </c>
      <c r="R43">
        <v>3</v>
      </c>
      <c r="S43">
        <v>1</v>
      </c>
      <c r="T43">
        <v>0</v>
      </c>
      <c r="V43" t="b">
        <f t="shared" si="0"/>
        <v>1</v>
      </c>
      <c r="W43" t="b">
        <f t="shared" si="1"/>
        <v>1</v>
      </c>
      <c r="X43" t="b">
        <f t="shared" si="2"/>
        <v>1</v>
      </c>
      <c r="Y43" t="b">
        <f t="shared" si="3"/>
        <v>1</v>
      </c>
      <c r="Z43" t="b">
        <f t="shared" si="4"/>
        <v>1</v>
      </c>
      <c r="AA43" t="b">
        <f t="shared" si="5"/>
        <v>1</v>
      </c>
      <c r="AB43" t="b">
        <f t="shared" si="6"/>
        <v>1</v>
      </c>
      <c r="AC43" t="b">
        <f t="shared" si="7"/>
        <v>1</v>
      </c>
      <c r="AD43" t="b">
        <f t="shared" si="8"/>
        <v>1</v>
      </c>
      <c r="AE43" t="b">
        <f t="shared" si="9"/>
        <v>0</v>
      </c>
      <c r="AF43" t="b">
        <f t="shared" si="10"/>
        <v>0</v>
      </c>
      <c r="AG43" t="b">
        <f t="shared" si="11"/>
        <v>0</v>
      </c>
      <c r="AH43" t="b">
        <f t="shared" si="12"/>
        <v>0</v>
      </c>
    </row>
    <row r="44" spans="1:34" x14ac:dyDescent="0.2">
      <c r="A44" t="s">
        <v>149</v>
      </c>
      <c r="B44" t="s">
        <v>69</v>
      </c>
      <c r="C44" t="s">
        <v>69</v>
      </c>
      <c r="D44">
        <v>1</v>
      </c>
      <c r="E44">
        <v>2</v>
      </c>
      <c r="F44">
        <v>2</v>
      </c>
      <c r="G44">
        <v>1</v>
      </c>
      <c r="H44">
        <v>0</v>
      </c>
      <c r="I44">
        <v>2</v>
      </c>
      <c r="J44">
        <v>2</v>
      </c>
      <c r="K44">
        <v>0</v>
      </c>
      <c r="L44">
        <v>2</v>
      </c>
      <c r="M44">
        <v>1</v>
      </c>
      <c r="N44">
        <v>1</v>
      </c>
      <c r="O44">
        <v>2</v>
      </c>
      <c r="P44">
        <v>0</v>
      </c>
      <c r="Q44">
        <v>6</v>
      </c>
      <c r="R44">
        <v>4</v>
      </c>
      <c r="S44">
        <v>3</v>
      </c>
      <c r="T44">
        <v>0</v>
      </c>
      <c r="V44" t="b">
        <f t="shared" si="0"/>
        <v>1</v>
      </c>
      <c r="W44" t="b">
        <f t="shared" si="1"/>
        <v>1</v>
      </c>
      <c r="X44" t="b">
        <f t="shared" si="2"/>
        <v>1</v>
      </c>
      <c r="Y44" t="b">
        <f t="shared" si="3"/>
        <v>1</v>
      </c>
      <c r="Z44" t="b">
        <f t="shared" si="4"/>
        <v>1</v>
      </c>
      <c r="AA44" t="b">
        <f t="shared" si="5"/>
        <v>1</v>
      </c>
      <c r="AB44" t="b">
        <f t="shared" si="6"/>
        <v>0</v>
      </c>
      <c r="AC44" t="b">
        <f t="shared" si="7"/>
        <v>0</v>
      </c>
      <c r="AD44" t="b">
        <f t="shared" si="8"/>
        <v>0</v>
      </c>
      <c r="AE44" t="b">
        <f t="shared" si="9"/>
        <v>0</v>
      </c>
      <c r="AF44" t="b">
        <f t="shared" si="10"/>
        <v>0</v>
      </c>
      <c r="AG44" t="b">
        <f t="shared" si="11"/>
        <v>0</v>
      </c>
      <c r="AH44" t="b">
        <f t="shared" si="12"/>
        <v>0</v>
      </c>
    </row>
    <row r="45" spans="1:34" x14ac:dyDescent="0.2">
      <c r="A45" t="s">
        <v>150</v>
      </c>
      <c r="B45" t="s">
        <v>151</v>
      </c>
      <c r="C45" t="s">
        <v>151</v>
      </c>
      <c r="D45">
        <v>0</v>
      </c>
      <c r="E45">
        <v>1</v>
      </c>
      <c r="F45">
        <v>1</v>
      </c>
      <c r="G45">
        <v>1</v>
      </c>
      <c r="H45">
        <v>0</v>
      </c>
      <c r="I45">
        <v>1</v>
      </c>
      <c r="J45">
        <v>2</v>
      </c>
      <c r="K45">
        <v>0</v>
      </c>
      <c r="L45">
        <v>1</v>
      </c>
      <c r="M45">
        <v>1</v>
      </c>
      <c r="O45">
        <v>0</v>
      </c>
      <c r="P45">
        <v>0</v>
      </c>
      <c r="Q45">
        <v>1</v>
      </c>
      <c r="R45">
        <v>6</v>
      </c>
      <c r="S45">
        <v>5</v>
      </c>
      <c r="T45">
        <v>1</v>
      </c>
      <c r="V45" t="b">
        <f t="shared" si="0"/>
        <v>1</v>
      </c>
      <c r="W45" t="b">
        <f t="shared" si="1"/>
        <v>0</v>
      </c>
      <c r="X45" t="b">
        <f t="shared" si="2"/>
        <v>0</v>
      </c>
      <c r="Y45" t="b">
        <f t="shared" si="3"/>
        <v>0</v>
      </c>
      <c r="Z45" t="b">
        <f t="shared" si="4"/>
        <v>0</v>
      </c>
      <c r="AA45" t="b">
        <f t="shared" si="5"/>
        <v>0</v>
      </c>
      <c r="AB45" t="b">
        <f t="shared" si="6"/>
        <v>0</v>
      </c>
      <c r="AC45" t="b">
        <f t="shared" si="7"/>
        <v>0</v>
      </c>
      <c r="AD45" t="b">
        <f t="shared" si="8"/>
        <v>0</v>
      </c>
      <c r="AE45" t="b">
        <f t="shared" si="9"/>
        <v>0</v>
      </c>
      <c r="AF45" t="b">
        <f t="shared" si="10"/>
        <v>0</v>
      </c>
      <c r="AG45" t="b">
        <f t="shared" si="11"/>
        <v>0</v>
      </c>
      <c r="AH45" t="b">
        <f t="shared" si="12"/>
        <v>0</v>
      </c>
    </row>
    <row r="46" spans="1:34" x14ac:dyDescent="0.2">
      <c r="A46" t="s">
        <v>152</v>
      </c>
      <c r="B46" t="s">
        <v>151</v>
      </c>
      <c r="C46" t="s">
        <v>151</v>
      </c>
      <c r="D46">
        <v>0</v>
      </c>
      <c r="E46">
        <v>1</v>
      </c>
      <c r="F46">
        <v>2</v>
      </c>
      <c r="G46">
        <v>1</v>
      </c>
      <c r="H46">
        <v>1</v>
      </c>
      <c r="I46">
        <v>1</v>
      </c>
      <c r="J46">
        <v>2</v>
      </c>
      <c r="K46">
        <v>1</v>
      </c>
      <c r="L46">
        <v>1</v>
      </c>
      <c r="M46">
        <v>1</v>
      </c>
      <c r="O46">
        <v>2</v>
      </c>
      <c r="P46">
        <v>1</v>
      </c>
      <c r="Q46">
        <v>3</v>
      </c>
      <c r="R46">
        <v>8</v>
      </c>
      <c r="S46">
        <v>1</v>
      </c>
      <c r="T46">
        <v>1</v>
      </c>
      <c r="V46" t="b">
        <f t="shared" si="0"/>
        <v>1</v>
      </c>
      <c r="W46" t="b">
        <f t="shared" si="1"/>
        <v>1</v>
      </c>
      <c r="X46" t="b">
        <f t="shared" si="2"/>
        <v>1</v>
      </c>
      <c r="Y46" t="b">
        <f t="shared" si="3"/>
        <v>0</v>
      </c>
      <c r="Z46" t="b">
        <f t="shared" si="4"/>
        <v>0</v>
      </c>
      <c r="AA46" t="b">
        <f t="shared" si="5"/>
        <v>0</v>
      </c>
      <c r="AB46" t="b">
        <f t="shared" si="6"/>
        <v>0</v>
      </c>
      <c r="AC46" t="b">
        <f t="shared" si="7"/>
        <v>0</v>
      </c>
      <c r="AD46" t="b">
        <f t="shared" si="8"/>
        <v>0</v>
      </c>
      <c r="AE46" t="b">
        <f t="shared" si="9"/>
        <v>0</v>
      </c>
      <c r="AF46" t="b">
        <f t="shared" si="10"/>
        <v>0</v>
      </c>
      <c r="AG46" t="b">
        <f t="shared" si="11"/>
        <v>0</v>
      </c>
      <c r="AH46" t="b">
        <f t="shared" si="12"/>
        <v>0</v>
      </c>
    </row>
    <row r="47" spans="1:34" x14ac:dyDescent="0.2">
      <c r="A47" t="s">
        <v>153</v>
      </c>
      <c r="B47" t="s">
        <v>154</v>
      </c>
      <c r="C47" t="s">
        <v>154</v>
      </c>
      <c r="D47">
        <v>1</v>
      </c>
      <c r="E47">
        <v>0</v>
      </c>
      <c r="F47">
        <v>2</v>
      </c>
      <c r="G47">
        <v>2</v>
      </c>
      <c r="H47">
        <v>2</v>
      </c>
      <c r="I47">
        <v>2</v>
      </c>
      <c r="J47">
        <v>2</v>
      </c>
      <c r="K47">
        <v>2</v>
      </c>
      <c r="L47">
        <v>1</v>
      </c>
      <c r="M47">
        <v>2</v>
      </c>
      <c r="N47">
        <v>1</v>
      </c>
      <c r="O47">
        <v>2</v>
      </c>
      <c r="P47">
        <v>1</v>
      </c>
      <c r="Q47">
        <v>8</v>
      </c>
      <c r="R47">
        <v>4</v>
      </c>
      <c r="S47">
        <v>1</v>
      </c>
      <c r="T47">
        <v>0</v>
      </c>
      <c r="V47" t="b">
        <f t="shared" si="0"/>
        <v>1</v>
      </c>
      <c r="W47" t="b">
        <f t="shared" si="1"/>
        <v>1</v>
      </c>
      <c r="X47" t="b">
        <f t="shared" si="2"/>
        <v>1</v>
      </c>
      <c r="Y47" t="b">
        <f t="shared" si="3"/>
        <v>1</v>
      </c>
      <c r="Z47" t="b">
        <f t="shared" si="4"/>
        <v>1</v>
      </c>
      <c r="AA47" t="b">
        <f t="shared" si="5"/>
        <v>1</v>
      </c>
      <c r="AB47" t="b">
        <f t="shared" si="6"/>
        <v>1</v>
      </c>
      <c r="AC47" t="b">
        <f t="shared" si="7"/>
        <v>1</v>
      </c>
      <c r="AD47" t="b">
        <f t="shared" si="8"/>
        <v>0</v>
      </c>
      <c r="AE47" t="b">
        <f t="shared" si="9"/>
        <v>0</v>
      </c>
      <c r="AF47" t="b">
        <f t="shared" si="10"/>
        <v>0</v>
      </c>
      <c r="AG47" t="b">
        <f t="shared" si="11"/>
        <v>0</v>
      </c>
      <c r="AH47" t="b">
        <f t="shared" si="12"/>
        <v>0</v>
      </c>
    </row>
    <row r="48" spans="1:34" x14ac:dyDescent="0.2">
      <c r="A48" t="s">
        <v>155</v>
      </c>
      <c r="B48" t="s">
        <v>154</v>
      </c>
      <c r="C48" t="s">
        <v>154</v>
      </c>
      <c r="D48">
        <v>2</v>
      </c>
      <c r="E48">
        <v>0</v>
      </c>
      <c r="F48">
        <v>2</v>
      </c>
      <c r="G48">
        <v>2</v>
      </c>
      <c r="H48">
        <v>2</v>
      </c>
      <c r="I48">
        <v>1</v>
      </c>
      <c r="J48">
        <v>2</v>
      </c>
      <c r="K48">
        <v>2</v>
      </c>
      <c r="L48">
        <v>1</v>
      </c>
      <c r="M48">
        <v>2</v>
      </c>
      <c r="N48">
        <v>2</v>
      </c>
      <c r="O48">
        <v>2</v>
      </c>
      <c r="P48">
        <v>2</v>
      </c>
      <c r="Q48">
        <v>10</v>
      </c>
      <c r="R48">
        <v>2</v>
      </c>
      <c r="S48">
        <v>1</v>
      </c>
      <c r="T48">
        <v>0</v>
      </c>
      <c r="V48" t="b">
        <f t="shared" si="0"/>
        <v>1</v>
      </c>
      <c r="W48" t="b">
        <f t="shared" si="1"/>
        <v>1</v>
      </c>
      <c r="X48" t="b">
        <f t="shared" si="2"/>
        <v>1</v>
      </c>
      <c r="Y48" t="b">
        <f t="shared" si="3"/>
        <v>1</v>
      </c>
      <c r="Z48" t="b">
        <f t="shared" si="4"/>
        <v>1</v>
      </c>
      <c r="AA48" t="b">
        <f t="shared" si="5"/>
        <v>1</v>
      </c>
      <c r="AB48" t="b">
        <f t="shared" si="6"/>
        <v>1</v>
      </c>
      <c r="AC48" t="b">
        <f t="shared" si="7"/>
        <v>1</v>
      </c>
      <c r="AD48" t="b">
        <f t="shared" si="8"/>
        <v>1</v>
      </c>
      <c r="AE48" t="b">
        <f t="shared" si="9"/>
        <v>1</v>
      </c>
      <c r="AF48" t="b">
        <f t="shared" si="10"/>
        <v>0</v>
      </c>
      <c r="AG48" t="b">
        <f t="shared" si="11"/>
        <v>0</v>
      </c>
      <c r="AH48" t="b">
        <f t="shared" si="12"/>
        <v>0</v>
      </c>
    </row>
    <row r="49" spans="1:34" x14ac:dyDescent="0.2">
      <c r="A49" t="s">
        <v>156</v>
      </c>
      <c r="B49" t="s">
        <v>154</v>
      </c>
      <c r="C49" t="s">
        <v>154</v>
      </c>
      <c r="D49">
        <v>1</v>
      </c>
      <c r="E49">
        <v>1</v>
      </c>
      <c r="F49">
        <v>2</v>
      </c>
      <c r="G49">
        <v>2</v>
      </c>
      <c r="H49">
        <v>0</v>
      </c>
      <c r="I49">
        <v>2</v>
      </c>
      <c r="J49">
        <v>1</v>
      </c>
      <c r="K49">
        <v>2</v>
      </c>
      <c r="L49">
        <v>1</v>
      </c>
      <c r="M49">
        <v>1</v>
      </c>
      <c r="O49">
        <v>2</v>
      </c>
      <c r="P49">
        <v>1</v>
      </c>
      <c r="Q49">
        <v>5</v>
      </c>
      <c r="R49">
        <v>6</v>
      </c>
      <c r="S49">
        <v>1</v>
      </c>
      <c r="T49">
        <v>1</v>
      </c>
      <c r="V49" t="b">
        <f t="shared" si="0"/>
        <v>1</v>
      </c>
      <c r="W49" t="b">
        <f t="shared" si="1"/>
        <v>1</v>
      </c>
      <c r="X49" t="b">
        <f t="shared" si="2"/>
        <v>1</v>
      </c>
      <c r="Y49" t="b">
        <f t="shared" si="3"/>
        <v>1</v>
      </c>
      <c r="Z49" t="b">
        <f t="shared" si="4"/>
        <v>1</v>
      </c>
      <c r="AA49" t="b">
        <f t="shared" si="5"/>
        <v>0</v>
      </c>
      <c r="AB49" t="b">
        <f t="shared" si="6"/>
        <v>0</v>
      </c>
      <c r="AC49" t="b">
        <f t="shared" si="7"/>
        <v>0</v>
      </c>
      <c r="AD49" t="b">
        <f t="shared" si="8"/>
        <v>0</v>
      </c>
      <c r="AE49" t="b">
        <f t="shared" si="9"/>
        <v>0</v>
      </c>
      <c r="AF49" t="b">
        <f t="shared" si="10"/>
        <v>0</v>
      </c>
      <c r="AG49" t="b">
        <f t="shared" si="11"/>
        <v>0</v>
      </c>
      <c r="AH49" t="b">
        <f t="shared" si="12"/>
        <v>0</v>
      </c>
    </row>
    <row r="50" spans="1:34" x14ac:dyDescent="0.2">
      <c r="A50" t="s">
        <v>157</v>
      </c>
      <c r="B50" t="s">
        <v>154</v>
      </c>
      <c r="C50" t="s">
        <v>154</v>
      </c>
      <c r="D50">
        <v>1</v>
      </c>
      <c r="E50">
        <v>1</v>
      </c>
      <c r="F50">
        <v>2</v>
      </c>
      <c r="G50">
        <v>1</v>
      </c>
      <c r="H50">
        <v>0</v>
      </c>
      <c r="I50">
        <v>0</v>
      </c>
      <c r="J50">
        <v>0</v>
      </c>
      <c r="K50">
        <v>1</v>
      </c>
      <c r="M50">
        <v>1</v>
      </c>
      <c r="O50">
        <v>2</v>
      </c>
      <c r="P50">
        <v>0</v>
      </c>
      <c r="Q50">
        <v>2</v>
      </c>
      <c r="R50">
        <v>5</v>
      </c>
      <c r="S50">
        <v>4</v>
      </c>
      <c r="T50">
        <v>2</v>
      </c>
      <c r="V50" t="b">
        <f t="shared" si="0"/>
        <v>1</v>
      </c>
      <c r="W50" t="b">
        <f t="shared" si="1"/>
        <v>1</v>
      </c>
      <c r="X50" t="b">
        <f t="shared" si="2"/>
        <v>0</v>
      </c>
      <c r="Y50" t="b">
        <f t="shared" si="3"/>
        <v>0</v>
      </c>
      <c r="Z50" t="b">
        <f t="shared" si="4"/>
        <v>0</v>
      </c>
      <c r="AA50" t="b">
        <f t="shared" si="5"/>
        <v>0</v>
      </c>
      <c r="AB50" t="b">
        <f t="shared" si="6"/>
        <v>0</v>
      </c>
      <c r="AC50" t="b">
        <f t="shared" si="7"/>
        <v>0</v>
      </c>
      <c r="AD50" t="b">
        <f t="shared" si="8"/>
        <v>0</v>
      </c>
      <c r="AE50" t="b">
        <f t="shared" si="9"/>
        <v>0</v>
      </c>
      <c r="AF50" t="b">
        <f t="shared" si="10"/>
        <v>0</v>
      </c>
      <c r="AG50" t="b">
        <f t="shared" si="11"/>
        <v>0</v>
      </c>
      <c r="AH50" t="b">
        <f t="shared" si="12"/>
        <v>0</v>
      </c>
    </row>
    <row r="51" spans="1:34" x14ac:dyDescent="0.2">
      <c r="A51" t="s">
        <v>158</v>
      </c>
      <c r="B51" t="s">
        <v>154</v>
      </c>
      <c r="C51" t="s">
        <v>154</v>
      </c>
      <c r="D51">
        <v>1</v>
      </c>
      <c r="E51">
        <v>0</v>
      </c>
      <c r="F51">
        <v>1</v>
      </c>
      <c r="G51">
        <v>2</v>
      </c>
      <c r="H51">
        <v>1</v>
      </c>
      <c r="I51">
        <v>2</v>
      </c>
      <c r="J51">
        <v>1</v>
      </c>
      <c r="K51">
        <v>0</v>
      </c>
      <c r="L51">
        <v>2</v>
      </c>
      <c r="M51">
        <v>1</v>
      </c>
      <c r="N51">
        <v>0</v>
      </c>
      <c r="O51">
        <v>2</v>
      </c>
      <c r="P51">
        <v>0</v>
      </c>
      <c r="Q51">
        <v>4</v>
      </c>
      <c r="R51">
        <v>5</v>
      </c>
      <c r="S51">
        <v>4</v>
      </c>
      <c r="T51">
        <v>0</v>
      </c>
      <c r="V51" t="b">
        <f t="shared" si="0"/>
        <v>1</v>
      </c>
      <c r="W51" t="b">
        <f t="shared" si="1"/>
        <v>1</v>
      </c>
      <c r="X51" t="b">
        <f t="shared" si="2"/>
        <v>1</v>
      </c>
      <c r="Y51" t="b">
        <f t="shared" si="3"/>
        <v>1</v>
      </c>
      <c r="Z51" t="b">
        <f t="shared" si="4"/>
        <v>0</v>
      </c>
      <c r="AA51" t="b">
        <f t="shared" si="5"/>
        <v>0</v>
      </c>
      <c r="AB51" t="b">
        <f t="shared" si="6"/>
        <v>0</v>
      </c>
      <c r="AC51" t="b">
        <f t="shared" si="7"/>
        <v>0</v>
      </c>
      <c r="AD51" t="b">
        <f t="shared" si="8"/>
        <v>0</v>
      </c>
      <c r="AE51" t="b">
        <f t="shared" si="9"/>
        <v>0</v>
      </c>
      <c r="AF51" t="b">
        <f t="shared" si="10"/>
        <v>0</v>
      </c>
      <c r="AG51" t="b">
        <f t="shared" si="11"/>
        <v>0</v>
      </c>
      <c r="AH51" t="b">
        <f t="shared" si="12"/>
        <v>0</v>
      </c>
    </row>
    <row r="52" spans="1:34" x14ac:dyDescent="0.2">
      <c r="A52" t="s">
        <v>159</v>
      </c>
      <c r="B52" t="s">
        <v>160</v>
      </c>
      <c r="C52" t="s">
        <v>160</v>
      </c>
      <c r="E52">
        <v>0</v>
      </c>
      <c r="F52">
        <v>1</v>
      </c>
      <c r="G52">
        <v>0</v>
      </c>
      <c r="H52">
        <v>2</v>
      </c>
      <c r="I52">
        <v>0</v>
      </c>
      <c r="J52">
        <v>1</v>
      </c>
      <c r="K52">
        <v>1</v>
      </c>
      <c r="M52">
        <v>0</v>
      </c>
      <c r="O52">
        <v>2</v>
      </c>
      <c r="P52">
        <v>0</v>
      </c>
      <c r="Q52">
        <v>2</v>
      </c>
      <c r="R52">
        <v>3</v>
      </c>
      <c r="S52">
        <v>5</v>
      </c>
      <c r="T52">
        <v>3</v>
      </c>
      <c r="V52" t="b">
        <f t="shared" si="0"/>
        <v>1</v>
      </c>
      <c r="W52" t="b">
        <f t="shared" si="1"/>
        <v>1</v>
      </c>
      <c r="X52" t="b">
        <f t="shared" si="2"/>
        <v>0</v>
      </c>
      <c r="Y52" t="b">
        <f t="shared" si="3"/>
        <v>0</v>
      </c>
      <c r="Z52" t="b">
        <f t="shared" si="4"/>
        <v>0</v>
      </c>
      <c r="AA52" t="b">
        <f t="shared" si="5"/>
        <v>0</v>
      </c>
      <c r="AB52" t="b">
        <f t="shared" si="6"/>
        <v>0</v>
      </c>
      <c r="AC52" t="b">
        <f t="shared" si="7"/>
        <v>0</v>
      </c>
      <c r="AD52" t="b">
        <f t="shared" si="8"/>
        <v>0</v>
      </c>
      <c r="AE52" t="b">
        <f t="shared" si="9"/>
        <v>0</v>
      </c>
      <c r="AF52" t="b">
        <f t="shared" si="10"/>
        <v>0</v>
      </c>
      <c r="AG52" t="b">
        <f t="shared" si="11"/>
        <v>0</v>
      </c>
      <c r="AH52" t="b">
        <f t="shared" si="12"/>
        <v>0</v>
      </c>
    </row>
    <row r="53" spans="1:34" x14ac:dyDescent="0.2">
      <c r="A53" t="s">
        <v>161</v>
      </c>
      <c r="B53" t="s">
        <v>160</v>
      </c>
      <c r="C53" t="s">
        <v>160</v>
      </c>
      <c r="D53">
        <v>0</v>
      </c>
      <c r="E53">
        <v>0</v>
      </c>
      <c r="F53">
        <v>2</v>
      </c>
      <c r="G53">
        <v>2</v>
      </c>
      <c r="H53">
        <v>0</v>
      </c>
      <c r="I53">
        <v>1</v>
      </c>
      <c r="J53">
        <v>1</v>
      </c>
      <c r="K53">
        <v>2</v>
      </c>
      <c r="L53">
        <v>1</v>
      </c>
      <c r="M53">
        <v>1</v>
      </c>
      <c r="N53">
        <v>1</v>
      </c>
      <c r="O53">
        <v>2</v>
      </c>
      <c r="P53">
        <v>0</v>
      </c>
      <c r="Q53">
        <v>4</v>
      </c>
      <c r="R53">
        <v>5</v>
      </c>
      <c r="S53">
        <v>4</v>
      </c>
      <c r="T53">
        <v>0</v>
      </c>
      <c r="V53" t="b">
        <f t="shared" si="0"/>
        <v>1</v>
      </c>
      <c r="W53" t="b">
        <f t="shared" si="1"/>
        <v>1</v>
      </c>
      <c r="X53" t="b">
        <f t="shared" si="2"/>
        <v>1</v>
      </c>
      <c r="Y53" t="b">
        <f t="shared" si="3"/>
        <v>1</v>
      </c>
      <c r="Z53" t="b">
        <f t="shared" si="4"/>
        <v>0</v>
      </c>
      <c r="AA53" t="b">
        <f t="shared" si="5"/>
        <v>0</v>
      </c>
      <c r="AB53" t="b">
        <f t="shared" si="6"/>
        <v>0</v>
      </c>
      <c r="AC53" t="b">
        <f t="shared" si="7"/>
        <v>0</v>
      </c>
      <c r="AD53" t="b">
        <f t="shared" si="8"/>
        <v>0</v>
      </c>
      <c r="AE53" t="b">
        <f t="shared" si="9"/>
        <v>0</v>
      </c>
      <c r="AF53" t="b">
        <f t="shared" si="10"/>
        <v>0</v>
      </c>
      <c r="AG53" t="b">
        <f t="shared" si="11"/>
        <v>0</v>
      </c>
      <c r="AH53" t="b">
        <f t="shared" si="12"/>
        <v>0</v>
      </c>
    </row>
    <row r="54" spans="1:34" x14ac:dyDescent="0.2">
      <c r="A54" t="s">
        <v>46</v>
      </c>
      <c r="B54" t="s">
        <v>160</v>
      </c>
      <c r="C54" t="s">
        <v>160</v>
      </c>
      <c r="D54">
        <v>0</v>
      </c>
      <c r="E54">
        <v>1</v>
      </c>
      <c r="F54">
        <v>2</v>
      </c>
      <c r="G54">
        <v>0</v>
      </c>
      <c r="H54">
        <v>0</v>
      </c>
      <c r="I54">
        <v>0</v>
      </c>
      <c r="J54">
        <v>0</v>
      </c>
      <c r="K54">
        <v>0</v>
      </c>
      <c r="L54">
        <v>1</v>
      </c>
      <c r="M54">
        <v>1</v>
      </c>
      <c r="O54">
        <v>2</v>
      </c>
      <c r="P54">
        <v>0</v>
      </c>
      <c r="Q54">
        <v>2</v>
      </c>
      <c r="R54">
        <v>3</v>
      </c>
      <c r="S54">
        <v>7</v>
      </c>
      <c r="T54">
        <v>1</v>
      </c>
      <c r="V54" t="b">
        <f t="shared" si="0"/>
        <v>1</v>
      </c>
      <c r="W54" t="b">
        <f t="shared" si="1"/>
        <v>1</v>
      </c>
      <c r="X54" t="b">
        <f t="shared" si="2"/>
        <v>0</v>
      </c>
      <c r="Y54" t="b">
        <f t="shared" si="3"/>
        <v>0</v>
      </c>
      <c r="Z54" t="b">
        <f t="shared" si="4"/>
        <v>0</v>
      </c>
      <c r="AA54" t="b">
        <f t="shared" si="5"/>
        <v>0</v>
      </c>
      <c r="AB54" t="b">
        <f t="shared" si="6"/>
        <v>0</v>
      </c>
      <c r="AC54" t="b">
        <f t="shared" si="7"/>
        <v>0</v>
      </c>
      <c r="AD54" t="b">
        <f t="shared" si="8"/>
        <v>0</v>
      </c>
      <c r="AE54" t="b">
        <f t="shared" si="9"/>
        <v>0</v>
      </c>
      <c r="AF54" t="b">
        <f t="shared" si="10"/>
        <v>0</v>
      </c>
      <c r="AG54" t="b">
        <f t="shared" si="11"/>
        <v>0</v>
      </c>
      <c r="AH54" t="b">
        <f t="shared" si="12"/>
        <v>0</v>
      </c>
    </row>
    <row r="55" spans="1:34" x14ac:dyDescent="0.2">
      <c r="A55" t="s">
        <v>162</v>
      </c>
      <c r="B55" t="s">
        <v>163</v>
      </c>
      <c r="C55" t="s">
        <v>116</v>
      </c>
      <c r="D55">
        <v>1</v>
      </c>
      <c r="E55">
        <v>2</v>
      </c>
      <c r="F55">
        <v>1</v>
      </c>
      <c r="G55">
        <v>0</v>
      </c>
      <c r="H55">
        <v>0</v>
      </c>
      <c r="I55">
        <v>0</v>
      </c>
      <c r="J55">
        <v>1</v>
      </c>
      <c r="K55">
        <v>2</v>
      </c>
      <c r="L55">
        <v>0</v>
      </c>
      <c r="M55">
        <v>1</v>
      </c>
      <c r="N55">
        <v>1</v>
      </c>
      <c r="O55">
        <v>2</v>
      </c>
      <c r="P55">
        <v>0</v>
      </c>
      <c r="Q55">
        <v>3</v>
      </c>
      <c r="R55">
        <v>5</v>
      </c>
      <c r="S55">
        <v>5</v>
      </c>
      <c r="T55">
        <v>0</v>
      </c>
      <c r="V55" t="b">
        <f t="shared" si="0"/>
        <v>1</v>
      </c>
      <c r="W55" t="b">
        <f t="shared" si="1"/>
        <v>1</v>
      </c>
      <c r="X55" t="b">
        <f t="shared" si="2"/>
        <v>1</v>
      </c>
      <c r="Y55" t="b">
        <f t="shared" si="3"/>
        <v>0</v>
      </c>
      <c r="Z55" t="b">
        <f t="shared" si="4"/>
        <v>0</v>
      </c>
      <c r="AA55" t="b">
        <f t="shared" si="5"/>
        <v>0</v>
      </c>
      <c r="AB55" t="b">
        <f t="shared" si="6"/>
        <v>0</v>
      </c>
      <c r="AC55" t="b">
        <f t="shared" si="7"/>
        <v>0</v>
      </c>
      <c r="AD55" t="b">
        <f t="shared" si="8"/>
        <v>0</v>
      </c>
      <c r="AE55" t="b">
        <f t="shared" si="9"/>
        <v>0</v>
      </c>
      <c r="AF55" t="b">
        <f t="shared" si="10"/>
        <v>0</v>
      </c>
      <c r="AG55" t="b">
        <f t="shared" si="11"/>
        <v>0</v>
      </c>
      <c r="AH55" t="b">
        <f t="shared" si="12"/>
        <v>0</v>
      </c>
    </row>
    <row r="56" spans="1:34" x14ac:dyDescent="0.2">
      <c r="A56" t="s">
        <v>164</v>
      </c>
      <c r="B56" t="s">
        <v>163</v>
      </c>
      <c r="C56" t="s">
        <v>116</v>
      </c>
      <c r="D56">
        <v>0</v>
      </c>
      <c r="E56">
        <v>2</v>
      </c>
      <c r="F56">
        <v>2</v>
      </c>
      <c r="G56">
        <v>2</v>
      </c>
      <c r="H56">
        <v>2</v>
      </c>
      <c r="I56">
        <v>0</v>
      </c>
      <c r="J56">
        <v>0</v>
      </c>
      <c r="K56">
        <v>2</v>
      </c>
      <c r="L56">
        <v>0</v>
      </c>
      <c r="M56">
        <v>0</v>
      </c>
      <c r="N56">
        <v>0</v>
      </c>
      <c r="O56">
        <v>2</v>
      </c>
      <c r="P56">
        <v>0</v>
      </c>
      <c r="Q56">
        <v>6</v>
      </c>
      <c r="R56">
        <v>0</v>
      </c>
      <c r="S56">
        <v>7</v>
      </c>
      <c r="T56">
        <v>0</v>
      </c>
      <c r="V56" t="b">
        <f t="shared" si="0"/>
        <v>1</v>
      </c>
      <c r="W56" t="b">
        <f t="shared" si="1"/>
        <v>1</v>
      </c>
      <c r="X56" t="b">
        <f t="shared" si="2"/>
        <v>1</v>
      </c>
      <c r="Y56" t="b">
        <f t="shared" si="3"/>
        <v>1</v>
      </c>
      <c r="Z56" t="b">
        <f t="shared" si="4"/>
        <v>1</v>
      </c>
      <c r="AA56" t="b">
        <f t="shared" si="5"/>
        <v>1</v>
      </c>
      <c r="AB56" t="b">
        <f t="shared" si="6"/>
        <v>0</v>
      </c>
      <c r="AC56" t="b">
        <f t="shared" si="7"/>
        <v>0</v>
      </c>
      <c r="AD56" t="b">
        <f t="shared" si="8"/>
        <v>0</v>
      </c>
      <c r="AE56" t="b">
        <f t="shared" si="9"/>
        <v>0</v>
      </c>
      <c r="AF56" t="b">
        <f t="shared" si="10"/>
        <v>0</v>
      </c>
      <c r="AG56" t="b">
        <f t="shared" si="11"/>
        <v>0</v>
      </c>
      <c r="AH56" t="b">
        <f t="shared" si="12"/>
        <v>0</v>
      </c>
    </row>
    <row r="57" spans="1:34" x14ac:dyDescent="0.2">
      <c r="A57" t="s">
        <v>165</v>
      </c>
      <c r="B57" t="s">
        <v>163</v>
      </c>
      <c r="C57" t="s">
        <v>116</v>
      </c>
      <c r="D57">
        <v>0</v>
      </c>
      <c r="E57">
        <v>2</v>
      </c>
      <c r="F57">
        <v>1</v>
      </c>
      <c r="G57">
        <v>0</v>
      </c>
      <c r="H57">
        <v>0</v>
      </c>
      <c r="I57">
        <v>1</v>
      </c>
      <c r="J57">
        <v>1</v>
      </c>
      <c r="K57">
        <v>2</v>
      </c>
      <c r="L57">
        <v>2</v>
      </c>
      <c r="M57">
        <v>1</v>
      </c>
      <c r="N57">
        <v>0</v>
      </c>
      <c r="O57">
        <v>2</v>
      </c>
      <c r="P57">
        <v>0</v>
      </c>
      <c r="Q57">
        <v>4</v>
      </c>
      <c r="R57">
        <v>4</v>
      </c>
      <c r="S57">
        <v>5</v>
      </c>
      <c r="T57">
        <v>0</v>
      </c>
      <c r="V57" t="b">
        <f t="shared" si="0"/>
        <v>1</v>
      </c>
      <c r="W57" t="b">
        <f t="shared" si="1"/>
        <v>1</v>
      </c>
      <c r="X57" t="b">
        <f t="shared" si="2"/>
        <v>1</v>
      </c>
      <c r="Y57" t="b">
        <f t="shared" si="3"/>
        <v>1</v>
      </c>
      <c r="Z57" t="b">
        <f t="shared" si="4"/>
        <v>0</v>
      </c>
      <c r="AA57" t="b">
        <f t="shared" si="5"/>
        <v>0</v>
      </c>
      <c r="AB57" t="b">
        <f t="shared" si="6"/>
        <v>0</v>
      </c>
      <c r="AC57" t="b">
        <f t="shared" si="7"/>
        <v>0</v>
      </c>
      <c r="AD57" t="b">
        <f t="shared" si="8"/>
        <v>0</v>
      </c>
      <c r="AE57" t="b">
        <f t="shared" si="9"/>
        <v>0</v>
      </c>
      <c r="AF57" t="b">
        <f t="shared" si="10"/>
        <v>0</v>
      </c>
      <c r="AG57" t="b">
        <f t="shared" si="11"/>
        <v>0</v>
      </c>
      <c r="AH57" t="b">
        <f t="shared" si="12"/>
        <v>0</v>
      </c>
    </row>
    <row r="58" spans="1:34" x14ac:dyDescent="0.2">
      <c r="A58" t="s">
        <v>166</v>
      </c>
      <c r="B58" t="s">
        <v>167</v>
      </c>
      <c r="C58" t="s">
        <v>168</v>
      </c>
      <c r="D58">
        <v>1</v>
      </c>
      <c r="E58">
        <v>0</v>
      </c>
      <c r="F58">
        <v>2</v>
      </c>
      <c r="G58">
        <v>2</v>
      </c>
      <c r="H58">
        <v>2</v>
      </c>
      <c r="I58">
        <v>1</v>
      </c>
      <c r="J58">
        <v>2</v>
      </c>
      <c r="K58">
        <v>2</v>
      </c>
      <c r="L58">
        <v>1</v>
      </c>
      <c r="M58">
        <v>2</v>
      </c>
      <c r="N58">
        <v>2</v>
      </c>
      <c r="O58">
        <v>2</v>
      </c>
      <c r="P58">
        <v>2</v>
      </c>
      <c r="Q58">
        <v>9</v>
      </c>
      <c r="R58">
        <v>3</v>
      </c>
      <c r="S58">
        <v>1</v>
      </c>
      <c r="T58">
        <v>0</v>
      </c>
      <c r="V58" t="b">
        <f t="shared" si="0"/>
        <v>1</v>
      </c>
      <c r="W58" t="b">
        <f t="shared" si="1"/>
        <v>1</v>
      </c>
      <c r="X58" t="b">
        <f t="shared" si="2"/>
        <v>1</v>
      </c>
      <c r="Y58" t="b">
        <f t="shared" si="3"/>
        <v>1</v>
      </c>
      <c r="Z58" t="b">
        <f t="shared" si="4"/>
        <v>1</v>
      </c>
      <c r="AA58" t="b">
        <f t="shared" si="5"/>
        <v>1</v>
      </c>
      <c r="AB58" t="b">
        <f t="shared" si="6"/>
        <v>1</v>
      </c>
      <c r="AC58" t="b">
        <f t="shared" si="7"/>
        <v>1</v>
      </c>
      <c r="AD58" t="b">
        <f t="shared" si="8"/>
        <v>1</v>
      </c>
      <c r="AE58" t="b">
        <f t="shared" si="9"/>
        <v>0</v>
      </c>
      <c r="AF58" t="b">
        <f t="shared" si="10"/>
        <v>0</v>
      </c>
      <c r="AG58" t="b">
        <f t="shared" si="11"/>
        <v>0</v>
      </c>
      <c r="AH58" t="b">
        <f t="shared" si="12"/>
        <v>0</v>
      </c>
    </row>
    <row r="59" spans="1:34" x14ac:dyDescent="0.2">
      <c r="A59" t="s">
        <v>169</v>
      </c>
      <c r="B59" t="s">
        <v>167</v>
      </c>
      <c r="C59" t="s">
        <v>168</v>
      </c>
      <c r="D59">
        <v>1</v>
      </c>
      <c r="E59">
        <v>0</v>
      </c>
      <c r="F59">
        <v>2</v>
      </c>
      <c r="G59">
        <v>2</v>
      </c>
      <c r="H59">
        <v>2</v>
      </c>
      <c r="I59">
        <v>1</v>
      </c>
      <c r="J59">
        <v>1</v>
      </c>
      <c r="K59">
        <v>2</v>
      </c>
      <c r="L59">
        <v>1</v>
      </c>
      <c r="M59">
        <v>2</v>
      </c>
      <c r="N59">
        <v>2</v>
      </c>
      <c r="O59">
        <v>1</v>
      </c>
      <c r="P59">
        <v>2</v>
      </c>
      <c r="Q59">
        <v>7</v>
      </c>
      <c r="R59">
        <v>5</v>
      </c>
      <c r="S59">
        <v>1</v>
      </c>
      <c r="T59">
        <v>0</v>
      </c>
      <c r="V59" t="b">
        <f t="shared" si="0"/>
        <v>1</v>
      </c>
      <c r="W59" t="b">
        <f t="shared" si="1"/>
        <v>1</v>
      </c>
      <c r="X59" t="b">
        <f t="shared" si="2"/>
        <v>1</v>
      </c>
      <c r="Y59" t="b">
        <f t="shared" si="3"/>
        <v>1</v>
      </c>
      <c r="Z59" t="b">
        <f t="shared" si="4"/>
        <v>1</v>
      </c>
      <c r="AA59" t="b">
        <f t="shared" si="5"/>
        <v>1</v>
      </c>
      <c r="AB59" t="b">
        <f t="shared" si="6"/>
        <v>1</v>
      </c>
      <c r="AC59" t="b">
        <f t="shared" si="7"/>
        <v>0</v>
      </c>
      <c r="AD59" t="b">
        <f t="shared" si="8"/>
        <v>0</v>
      </c>
      <c r="AE59" t="b">
        <f t="shared" si="9"/>
        <v>0</v>
      </c>
      <c r="AF59" t="b">
        <f t="shared" si="10"/>
        <v>0</v>
      </c>
      <c r="AG59" t="b">
        <f t="shared" si="11"/>
        <v>0</v>
      </c>
      <c r="AH59" t="b">
        <f t="shared" si="12"/>
        <v>0</v>
      </c>
    </row>
    <row r="60" spans="1:34" x14ac:dyDescent="0.2">
      <c r="A60" t="s">
        <v>170</v>
      </c>
      <c r="B60" t="s">
        <v>171</v>
      </c>
      <c r="C60" t="s">
        <v>172</v>
      </c>
      <c r="D60">
        <v>2</v>
      </c>
      <c r="E60">
        <v>1</v>
      </c>
      <c r="F60">
        <v>2</v>
      </c>
      <c r="G60">
        <v>2</v>
      </c>
      <c r="H60">
        <v>2</v>
      </c>
      <c r="I60">
        <v>1</v>
      </c>
      <c r="J60">
        <v>2</v>
      </c>
      <c r="K60">
        <v>2</v>
      </c>
      <c r="L60">
        <v>1</v>
      </c>
      <c r="M60">
        <v>2</v>
      </c>
      <c r="N60">
        <v>2</v>
      </c>
      <c r="O60">
        <v>2</v>
      </c>
      <c r="P60">
        <v>2</v>
      </c>
      <c r="Q60">
        <v>10</v>
      </c>
      <c r="R60">
        <v>3</v>
      </c>
      <c r="S60">
        <v>0</v>
      </c>
      <c r="T60">
        <v>0</v>
      </c>
      <c r="V60" t="b">
        <f t="shared" si="0"/>
        <v>1</v>
      </c>
      <c r="W60" t="b">
        <f t="shared" si="1"/>
        <v>1</v>
      </c>
      <c r="X60" t="b">
        <f t="shared" si="2"/>
        <v>1</v>
      </c>
      <c r="Y60" t="b">
        <f t="shared" si="3"/>
        <v>1</v>
      </c>
      <c r="Z60" t="b">
        <f t="shared" si="4"/>
        <v>1</v>
      </c>
      <c r="AA60" t="b">
        <f t="shared" si="5"/>
        <v>1</v>
      </c>
      <c r="AB60" t="b">
        <f t="shared" si="6"/>
        <v>1</v>
      </c>
      <c r="AC60" t="b">
        <f t="shared" si="7"/>
        <v>1</v>
      </c>
      <c r="AD60" t="b">
        <f t="shared" si="8"/>
        <v>1</v>
      </c>
      <c r="AE60" t="b">
        <f t="shared" si="9"/>
        <v>1</v>
      </c>
      <c r="AF60" t="b">
        <f t="shared" si="10"/>
        <v>0</v>
      </c>
      <c r="AG60" t="b">
        <f t="shared" si="11"/>
        <v>0</v>
      </c>
      <c r="AH60" t="b">
        <f t="shared" si="12"/>
        <v>0</v>
      </c>
    </row>
    <row r="61" spans="1:34" x14ac:dyDescent="0.2">
      <c r="A61" t="s">
        <v>173</v>
      </c>
      <c r="B61" t="s">
        <v>174</v>
      </c>
      <c r="C61" t="s">
        <v>174</v>
      </c>
      <c r="D61">
        <v>0</v>
      </c>
      <c r="E61">
        <v>2</v>
      </c>
      <c r="F61">
        <v>1</v>
      </c>
      <c r="G61">
        <v>2</v>
      </c>
      <c r="H61">
        <v>2</v>
      </c>
      <c r="I61">
        <v>0</v>
      </c>
      <c r="J61">
        <v>1</v>
      </c>
      <c r="K61">
        <v>2</v>
      </c>
      <c r="L61">
        <v>2</v>
      </c>
      <c r="M61">
        <v>2</v>
      </c>
      <c r="N61">
        <v>0</v>
      </c>
      <c r="O61">
        <v>2</v>
      </c>
      <c r="P61">
        <v>1</v>
      </c>
      <c r="Q61">
        <v>7</v>
      </c>
      <c r="R61">
        <v>3</v>
      </c>
      <c r="S61">
        <v>3</v>
      </c>
      <c r="T61">
        <v>0</v>
      </c>
      <c r="V61" t="b">
        <f t="shared" si="0"/>
        <v>1</v>
      </c>
      <c r="W61" t="b">
        <f t="shared" si="1"/>
        <v>1</v>
      </c>
      <c r="X61" t="b">
        <f t="shared" si="2"/>
        <v>1</v>
      </c>
      <c r="Y61" t="b">
        <f t="shared" si="3"/>
        <v>1</v>
      </c>
      <c r="Z61" t="b">
        <f t="shared" si="4"/>
        <v>1</v>
      </c>
      <c r="AA61" t="b">
        <f t="shared" si="5"/>
        <v>1</v>
      </c>
      <c r="AB61" t="b">
        <f t="shared" si="6"/>
        <v>1</v>
      </c>
      <c r="AC61" t="b">
        <f t="shared" si="7"/>
        <v>0</v>
      </c>
      <c r="AD61" t="b">
        <f t="shared" si="8"/>
        <v>0</v>
      </c>
      <c r="AE61" t="b">
        <f t="shared" si="9"/>
        <v>0</v>
      </c>
      <c r="AF61" t="b">
        <f t="shared" si="10"/>
        <v>0</v>
      </c>
      <c r="AG61" t="b">
        <f t="shared" si="11"/>
        <v>0</v>
      </c>
      <c r="AH61" t="b">
        <f t="shared" si="12"/>
        <v>0</v>
      </c>
    </row>
    <row r="62" spans="1:34" x14ac:dyDescent="0.2">
      <c r="A62" t="s">
        <v>123</v>
      </c>
      <c r="B62" t="s">
        <v>174</v>
      </c>
      <c r="C62" t="s">
        <v>174</v>
      </c>
      <c r="D62">
        <v>0</v>
      </c>
      <c r="E62">
        <v>2</v>
      </c>
      <c r="F62">
        <v>1</v>
      </c>
      <c r="G62">
        <v>1</v>
      </c>
      <c r="H62">
        <v>0</v>
      </c>
      <c r="I62">
        <v>0</v>
      </c>
      <c r="J62">
        <v>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1</v>
      </c>
      <c r="R62">
        <v>3</v>
      </c>
      <c r="S62">
        <v>9</v>
      </c>
      <c r="T62">
        <v>0</v>
      </c>
      <c r="V62" t="b">
        <f t="shared" si="0"/>
        <v>1</v>
      </c>
      <c r="W62" t="b">
        <f t="shared" si="1"/>
        <v>0</v>
      </c>
      <c r="X62" t="b">
        <f t="shared" si="2"/>
        <v>0</v>
      </c>
      <c r="Y62" t="b">
        <f t="shared" si="3"/>
        <v>0</v>
      </c>
      <c r="Z62" t="b">
        <f t="shared" si="4"/>
        <v>0</v>
      </c>
      <c r="AA62" t="b">
        <f t="shared" si="5"/>
        <v>0</v>
      </c>
      <c r="AB62" t="b">
        <f t="shared" si="6"/>
        <v>0</v>
      </c>
      <c r="AC62" t="b">
        <f t="shared" si="7"/>
        <v>0</v>
      </c>
      <c r="AD62" t="b">
        <f t="shared" si="8"/>
        <v>0</v>
      </c>
      <c r="AE62" t="b">
        <f t="shared" si="9"/>
        <v>0</v>
      </c>
      <c r="AF62" t="b">
        <f t="shared" si="10"/>
        <v>0</v>
      </c>
      <c r="AG62" t="b">
        <f t="shared" si="11"/>
        <v>0</v>
      </c>
      <c r="AH62" t="b">
        <f t="shared" si="12"/>
        <v>0</v>
      </c>
    </row>
    <row r="63" spans="1:34" x14ac:dyDescent="0.2">
      <c r="A63" t="s">
        <v>56</v>
      </c>
      <c r="B63" t="s">
        <v>175</v>
      </c>
      <c r="C63" t="s">
        <v>175</v>
      </c>
      <c r="D63">
        <v>0</v>
      </c>
      <c r="E63">
        <v>2</v>
      </c>
      <c r="F63">
        <v>2</v>
      </c>
      <c r="G63">
        <v>2</v>
      </c>
      <c r="H63">
        <v>0</v>
      </c>
      <c r="I63">
        <v>1</v>
      </c>
      <c r="J63">
        <v>2</v>
      </c>
      <c r="K63">
        <v>0</v>
      </c>
      <c r="L63">
        <v>2</v>
      </c>
      <c r="M63">
        <v>2</v>
      </c>
      <c r="O63">
        <v>2</v>
      </c>
      <c r="P63">
        <v>0</v>
      </c>
      <c r="Q63">
        <v>7</v>
      </c>
      <c r="R63">
        <v>1</v>
      </c>
      <c r="S63">
        <v>4</v>
      </c>
      <c r="T63">
        <v>1</v>
      </c>
      <c r="V63" t="b">
        <f t="shared" si="0"/>
        <v>1</v>
      </c>
      <c r="W63" t="b">
        <f t="shared" si="1"/>
        <v>1</v>
      </c>
      <c r="X63" t="b">
        <f t="shared" si="2"/>
        <v>1</v>
      </c>
      <c r="Y63" t="b">
        <f t="shared" si="3"/>
        <v>1</v>
      </c>
      <c r="Z63" t="b">
        <f t="shared" si="4"/>
        <v>1</v>
      </c>
      <c r="AA63" t="b">
        <f t="shared" si="5"/>
        <v>1</v>
      </c>
      <c r="AB63" t="b">
        <f t="shared" si="6"/>
        <v>1</v>
      </c>
      <c r="AC63" t="b">
        <f t="shared" si="7"/>
        <v>0</v>
      </c>
      <c r="AD63" t="b">
        <f t="shared" si="8"/>
        <v>0</v>
      </c>
      <c r="AE63" t="b">
        <f t="shared" si="9"/>
        <v>0</v>
      </c>
      <c r="AF63" t="b">
        <f t="shared" si="10"/>
        <v>0</v>
      </c>
      <c r="AG63" t="b">
        <f t="shared" si="11"/>
        <v>0</v>
      </c>
      <c r="AH63" t="b">
        <f t="shared" si="12"/>
        <v>0</v>
      </c>
    </row>
    <row r="64" spans="1:34" x14ac:dyDescent="0.2">
      <c r="A64" t="s">
        <v>176</v>
      </c>
      <c r="B64" t="s">
        <v>177</v>
      </c>
      <c r="C64" t="s">
        <v>178</v>
      </c>
      <c r="D64">
        <v>0</v>
      </c>
      <c r="E64">
        <v>2</v>
      </c>
      <c r="F64">
        <v>2</v>
      </c>
      <c r="G64">
        <v>2</v>
      </c>
      <c r="H64">
        <v>0</v>
      </c>
      <c r="I64">
        <v>2</v>
      </c>
      <c r="J64">
        <v>1</v>
      </c>
      <c r="K64">
        <v>1</v>
      </c>
      <c r="L64">
        <v>1</v>
      </c>
      <c r="M64">
        <v>1</v>
      </c>
      <c r="N64">
        <v>1</v>
      </c>
      <c r="O64">
        <v>2</v>
      </c>
      <c r="P64">
        <v>0</v>
      </c>
      <c r="Q64">
        <v>5</v>
      </c>
      <c r="R64">
        <v>5</v>
      </c>
      <c r="S64">
        <v>3</v>
      </c>
      <c r="T64">
        <v>0</v>
      </c>
      <c r="V64" t="b">
        <f t="shared" si="0"/>
        <v>1</v>
      </c>
      <c r="W64" t="b">
        <f t="shared" si="1"/>
        <v>1</v>
      </c>
      <c r="X64" t="b">
        <f t="shared" si="2"/>
        <v>1</v>
      </c>
      <c r="Y64" t="b">
        <f t="shared" si="3"/>
        <v>1</v>
      </c>
      <c r="Z64" t="b">
        <f t="shared" si="4"/>
        <v>1</v>
      </c>
      <c r="AA64" t="b">
        <f t="shared" si="5"/>
        <v>0</v>
      </c>
      <c r="AB64" t="b">
        <f t="shared" si="6"/>
        <v>0</v>
      </c>
      <c r="AC64" t="b">
        <f t="shared" si="7"/>
        <v>0</v>
      </c>
      <c r="AD64" t="b">
        <f t="shared" si="8"/>
        <v>0</v>
      </c>
      <c r="AE64" t="b">
        <f t="shared" si="9"/>
        <v>0</v>
      </c>
      <c r="AF64" t="b">
        <f t="shared" si="10"/>
        <v>0</v>
      </c>
      <c r="AG64" t="b">
        <f t="shared" si="11"/>
        <v>0</v>
      </c>
      <c r="AH64" t="b">
        <f t="shared" si="12"/>
        <v>0</v>
      </c>
    </row>
    <row r="65" spans="1:34" x14ac:dyDescent="0.2">
      <c r="A65" t="s">
        <v>179</v>
      </c>
      <c r="B65" t="s">
        <v>180</v>
      </c>
      <c r="C65" t="s">
        <v>180</v>
      </c>
      <c r="D65">
        <v>1</v>
      </c>
      <c r="E65">
        <v>2</v>
      </c>
      <c r="F65">
        <v>1</v>
      </c>
      <c r="G65">
        <v>1</v>
      </c>
      <c r="H65">
        <v>0</v>
      </c>
      <c r="I65">
        <v>2</v>
      </c>
      <c r="J65">
        <v>1</v>
      </c>
      <c r="K65">
        <v>2</v>
      </c>
      <c r="L65">
        <v>1</v>
      </c>
      <c r="M65">
        <v>2</v>
      </c>
      <c r="N65">
        <v>0</v>
      </c>
      <c r="O65">
        <v>2</v>
      </c>
      <c r="P65">
        <v>0</v>
      </c>
      <c r="Q65">
        <v>5</v>
      </c>
      <c r="R65">
        <v>5</v>
      </c>
      <c r="S65">
        <v>3</v>
      </c>
      <c r="T65">
        <v>0</v>
      </c>
      <c r="V65" t="b">
        <f t="shared" si="0"/>
        <v>1</v>
      </c>
      <c r="W65" t="b">
        <f t="shared" si="1"/>
        <v>1</v>
      </c>
      <c r="X65" t="b">
        <f t="shared" si="2"/>
        <v>1</v>
      </c>
      <c r="Y65" t="b">
        <f t="shared" si="3"/>
        <v>1</v>
      </c>
      <c r="Z65" t="b">
        <f t="shared" si="4"/>
        <v>1</v>
      </c>
      <c r="AA65" t="b">
        <f t="shared" si="5"/>
        <v>0</v>
      </c>
      <c r="AB65" t="b">
        <f t="shared" si="6"/>
        <v>0</v>
      </c>
      <c r="AC65" t="b">
        <f t="shared" si="7"/>
        <v>0</v>
      </c>
      <c r="AD65" t="b">
        <f t="shared" si="8"/>
        <v>0</v>
      </c>
      <c r="AE65" t="b">
        <f t="shared" si="9"/>
        <v>0</v>
      </c>
      <c r="AF65" t="b">
        <f t="shared" si="10"/>
        <v>0</v>
      </c>
      <c r="AG65" t="b">
        <f t="shared" si="11"/>
        <v>0</v>
      </c>
      <c r="AH65" t="b">
        <f t="shared" si="12"/>
        <v>0</v>
      </c>
    </row>
    <row r="66" spans="1:34" x14ac:dyDescent="0.2">
      <c r="A66" t="s">
        <v>181</v>
      </c>
      <c r="B66" t="s">
        <v>180</v>
      </c>
      <c r="C66" t="s">
        <v>180</v>
      </c>
      <c r="D66">
        <v>1</v>
      </c>
      <c r="E66">
        <v>1</v>
      </c>
      <c r="F66">
        <v>1</v>
      </c>
      <c r="G66">
        <v>2</v>
      </c>
      <c r="H66">
        <v>0</v>
      </c>
      <c r="I66">
        <v>2</v>
      </c>
      <c r="J66">
        <v>1</v>
      </c>
      <c r="K66">
        <v>2</v>
      </c>
      <c r="L66">
        <v>2</v>
      </c>
      <c r="M66">
        <v>1</v>
      </c>
      <c r="N66">
        <v>0</v>
      </c>
      <c r="O66">
        <v>2</v>
      </c>
      <c r="P66">
        <v>1</v>
      </c>
      <c r="Q66">
        <v>5</v>
      </c>
      <c r="R66">
        <v>6</v>
      </c>
      <c r="S66">
        <v>2</v>
      </c>
      <c r="T66">
        <v>0</v>
      </c>
      <c r="V66" t="b">
        <f t="shared" si="0"/>
        <v>1</v>
      </c>
      <c r="W66" t="b">
        <f t="shared" si="1"/>
        <v>1</v>
      </c>
      <c r="X66" t="b">
        <f t="shared" si="2"/>
        <v>1</v>
      </c>
      <c r="Y66" t="b">
        <f t="shared" si="3"/>
        <v>1</v>
      </c>
      <c r="Z66" t="b">
        <f t="shared" si="4"/>
        <v>1</v>
      </c>
      <c r="AA66" t="b">
        <f t="shared" si="5"/>
        <v>0</v>
      </c>
      <c r="AB66" t="b">
        <f t="shared" si="6"/>
        <v>0</v>
      </c>
      <c r="AC66" t="b">
        <f t="shared" si="7"/>
        <v>0</v>
      </c>
      <c r="AD66" t="b">
        <f t="shared" si="8"/>
        <v>0</v>
      </c>
      <c r="AE66" t="b">
        <f t="shared" si="9"/>
        <v>0</v>
      </c>
      <c r="AF66" t="b">
        <f t="shared" si="10"/>
        <v>0</v>
      </c>
      <c r="AG66" t="b">
        <f t="shared" si="11"/>
        <v>0</v>
      </c>
      <c r="AH66" t="b">
        <f t="shared" si="12"/>
        <v>0</v>
      </c>
    </row>
    <row r="67" spans="1:34" x14ac:dyDescent="0.2">
      <c r="A67" t="s">
        <v>182</v>
      </c>
      <c r="B67" t="s">
        <v>180</v>
      </c>
      <c r="C67" t="s">
        <v>180</v>
      </c>
      <c r="D67">
        <v>1</v>
      </c>
      <c r="E67">
        <v>1</v>
      </c>
      <c r="F67">
        <v>1</v>
      </c>
      <c r="G67">
        <v>2</v>
      </c>
      <c r="H67">
        <v>0</v>
      </c>
      <c r="I67">
        <v>2</v>
      </c>
      <c r="J67">
        <v>2</v>
      </c>
      <c r="K67">
        <v>2</v>
      </c>
      <c r="L67">
        <v>2</v>
      </c>
      <c r="M67">
        <v>2</v>
      </c>
      <c r="N67">
        <v>0</v>
      </c>
      <c r="O67">
        <v>2</v>
      </c>
      <c r="P67">
        <v>0</v>
      </c>
      <c r="Q67">
        <v>7</v>
      </c>
      <c r="R67">
        <v>3</v>
      </c>
      <c r="S67">
        <v>3</v>
      </c>
      <c r="T67">
        <v>0</v>
      </c>
      <c r="V67" t="b">
        <f t="shared" ref="V67:V91" si="13">Q67&gt;=1</f>
        <v>1</v>
      </c>
      <c r="W67" t="b">
        <f t="shared" ref="W67:W91" si="14">Q67&gt;=2</f>
        <v>1</v>
      </c>
      <c r="X67" t="b">
        <f t="shared" ref="X67:X91" si="15">Q67&gt;=3</f>
        <v>1</v>
      </c>
      <c r="Y67" t="b">
        <f t="shared" ref="Y67:Y91" si="16">Q67&gt;=4</f>
        <v>1</v>
      </c>
      <c r="Z67" t="b">
        <f t="shared" ref="Z67:Z91" si="17">Q67&gt;=5</f>
        <v>1</v>
      </c>
      <c r="AA67" t="b">
        <f t="shared" ref="AA67:AA91" si="18">Q67&gt;=6</f>
        <v>1</v>
      </c>
      <c r="AB67" t="b">
        <f t="shared" ref="AB67:AB91" si="19">Q67&gt;=7</f>
        <v>1</v>
      </c>
      <c r="AC67" t="b">
        <f t="shared" ref="AC67:AC91" si="20">Q67&gt;=8</f>
        <v>0</v>
      </c>
      <c r="AD67" t="b">
        <f t="shared" ref="AD67:AD91" si="21">Q67&gt;=9</f>
        <v>0</v>
      </c>
      <c r="AE67" t="b">
        <f t="shared" ref="AE67:AE91" si="22">Q67&gt;=10</f>
        <v>0</v>
      </c>
      <c r="AF67" t="b">
        <f t="shared" ref="AF67:AF91" si="23">Q67&gt;=11</f>
        <v>0</v>
      </c>
      <c r="AG67" t="b">
        <f t="shared" ref="AG67:AG91" si="24">Q67&gt;=12</f>
        <v>0</v>
      </c>
      <c r="AH67" t="b">
        <f t="shared" ref="AH67:AH91" si="25">Q67&gt;=13</f>
        <v>0</v>
      </c>
    </row>
    <row r="68" spans="1:34" x14ac:dyDescent="0.2">
      <c r="A68" t="s">
        <v>183</v>
      </c>
      <c r="B68" t="s">
        <v>180</v>
      </c>
      <c r="C68" t="s">
        <v>180</v>
      </c>
      <c r="D68">
        <v>1</v>
      </c>
      <c r="E68">
        <v>1</v>
      </c>
      <c r="F68">
        <v>1</v>
      </c>
      <c r="G68">
        <v>2</v>
      </c>
      <c r="H68">
        <v>0</v>
      </c>
      <c r="I68">
        <v>2</v>
      </c>
      <c r="J68">
        <v>1</v>
      </c>
      <c r="K68">
        <v>0</v>
      </c>
      <c r="L68">
        <v>2</v>
      </c>
      <c r="M68">
        <v>1</v>
      </c>
      <c r="N68">
        <v>0</v>
      </c>
      <c r="O68">
        <v>2</v>
      </c>
      <c r="P68">
        <v>0</v>
      </c>
      <c r="Q68">
        <v>4</v>
      </c>
      <c r="R68">
        <v>5</v>
      </c>
      <c r="S68">
        <v>4</v>
      </c>
      <c r="T68">
        <v>0</v>
      </c>
      <c r="V68" t="b">
        <f t="shared" si="13"/>
        <v>1</v>
      </c>
      <c r="W68" t="b">
        <f t="shared" si="14"/>
        <v>1</v>
      </c>
      <c r="X68" t="b">
        <f t="shared" si="15"/>
        <v>1</v>
      </c>
      <c r="Y68" t="b">
        <f t="shared" si="16"/>
        <v>1</v>
      </c>
      <c r="Z68" t="b">
        <f t="shared" si="17"/>
        <v>0</v>
      </c>
      <c r="AA68" t="b">
        <f t="shared" si="18"/>
        <v>0</v>
      </c>
      <c r="AB68" t="b">
        <f t="shared" si="19"/>
        <v>0</v>
      </c>
      <c r="AC68" t="b">
        <f t="shared" si="20"/>
        <v>0</v>
      </c>
      <c r="AD68" t="b">
        <f t="shared" si="21"/>
        <v>0</v>
      </c>
      <c r="AE68" t="b">
        <f t="shared" si="22"/>
        <v>0</v>
      </c>
      <c r="AF68" t="b">
        <f t="shared" si="23"/>
        <v>0</v>
      </c>
      <c r="AG68" t="b">
        <f t="shared" si="24"/>
        <v>0</v>
      </c>
      <c r="AH68" t="b">
        <f t="shared" si="25"/>
        <v>0</v>
      </c>
    </row>
    <row r="69" spans="1:34" x14ac:dyDescent="0.2">
      <c r="A69" t="s">
        <v>184</v>
      </c>
      <c r="B69" t="s">
        <v>185</v>
      </c>
      <c r="C69" t="s">
        <v>185</v>
      </c>
      <c r="D69">
        <v>1</v>
      </c>
      <c r="E69">
        <v>1</v>
      </c>
      <c r="F69">
        <v>2</v>
      </c>
      <c r="G69">
        <v>2</v>
      </c>
      <c r="H69">
        <v>2</v>
      </c>
      <c r="I69">
        <v>1</v>
      </c>
      <c r="J69">
        <v>2</v>
      </c>
      <c r="K69">
        <v>2</v>
      </c>
      <c r="L69">
        <v>1</v>
      </c>
      <c r="M69">
        <v>2</v>
      </c>
      <c r="N69">
        <v>1</v>
      </c>
      <c r="O69">
        <v>2</v>
      </c>
      <c r="P69">
        <v>2</v>
      </c>
      <c r="Q69">
        <v>8</v>
      </c>
      <c r="R69">
        <v>5</v>
      </c>
      <c r="S69">
        <v>0</v>
      </c>
      <c r="T69">
        <v>0</v>
      </c>
      <c r="V69" t="b">
        <f t="shared" si="13"/>
        <v>1</v>
      </c>
      <c r="W69" t="b">
        <f t="shared" si="14"/>
        <v>1</v>
      </c>
      <c r="X69" t="b">
        <f t="shared" si="15"/>
        <v>1</v>
      </c>
      <c r="Y69" t="b">
        <f t="shared" si="16"/>
        <v>1</v>
      </c>
      <c r="Z69" t="b">
        <f t="shared" si="17"/>
        <v>1</v>
      </c>
      <c r="AA69" t="b">
        <f t="shared" si="18"/>
        <v>1</v>
      </c>
      <c r="AB69" t="b">
        <f t="shared" si="19"/>
        <v>1</v>
      </c>
      <c r="AC69" t="b">
        <f t="shared" si="20"/>
        <v>1</v>
      </c>
      <c r="AD69" t="b">
        <f t="shared" si="21"/>
        <v>0</v>
      </c>
      <c r="AE69" t="b">
        <f t="shared" si="22"/>
        <v>0</v>
      </c>
      <c r="AF69" t="b">
        <f t="shared" si="23"/>
        <v>0</v>
      </c>
      <c r="AG69" t="b">
        <f t="shared" si="24"/>
        <v>0</v>
      </c>
      <c r="AH69" t="b">
        <f t="shared" si="25"/>
        <v>0</v>
      </c>
    </row>
    <row r="70" spans="1:34" x14ac:dyDescent="0.2">
      <c r="A70" t="s">
        <v>186</v>
      </c>
      <c r="B70" t="s">
        <v>185</v>
      </c>
      <c r="C70" t="s">
        <v>185</v>
      </c>
      <c r="D70">
        <v>1</v>
      </c>
      <c r="E70">
        <v>1</v>
      </c>
      <c r="F70">
        <v>2</v>
      </c>
      <c r="G70">
        <v>2</v>
      </c>
      <c r="H70">
        <v>1</v>
      </c>
      <c r="I70">
        <v>2</v>
      </c>
      <c r="J70">
        <v>2</v>
      </c>
      <c r="K70">
        <v>1</v>
      </c>
      <c r="L70">
        <v>1</v>
      </c>
      <c r="M70">
        <v>2</v>
      </c>
      <c r="N70">
        <v>1</v>
      </c>
      <c r="O70">
        <v>2</v>
      </c>
      <c r="P70">
        <v>2</v>
      </c>
      <c r="Q70">
        <v>7</v>
      </c>
      <c r="R70">
        <v>6</v>
      </c>
      <c r="S70">
        <v>0</v>
      </c>
      <c r="T70">
        <v>0</v>
      </c>
      <c r="V70" t="b">
        <f t="shared" si="13"/>
        <v>1</v>
      </c>
      <c r="W70" t="b">
        <f t="shared" si="14"/>
        <v>1</v>
      </c>
      <c r="X70" t="b">
        <f t="shared" si="15"/>
        <v>1</v>
      </c>
      <c r="Y70" t="b">
        <f t="shared" si="16"/>
        <v>1</v>
      </c>
      <c r="Z70" t="b">
        <f t="shared" si="17"/>
        <v>1</v>
      </c>
      <c r="AA70" t="b">
        <f t="shared" si="18"/>
        <v>1</v>
      </c>
      <c r="AB70" t="b">
        <f t="shared" si="19"/>
        <v>1</v>
      </c>
      <c r="AC70" t="b">
        <f t="shared" si="20"/>
        <v>0</v>
      </c>
      <c r="AD70" t="b">
        <f t="shared" si="21"/>
        <v>0</v>
      </c>
      <c r="AE70" t="b">
        <f t="shared" si="22"/>
        <v>0</v>
      </c>
      <c r="AF70" t="b">
        <f t="shared" si="23"/>
        <v>0</v>
      </c>
      <c r="AG70" t="b">
        <f t="shared" si="24"/>
        <v>0</v>
      </c>
      <c r="AH70" t="b">
        <f t="shared" si="25"/>
        <v>0</v>
      </c>
    </row>
    <row r="71" spans="1:34" x14ac:dyDescent="0.2">
      <c r="A71" t="s">
        <v>187</v>
      </c>
      <c r="B71" t="s">
        <v>188</v>
      </c>
      <c r="C71" t="s">
        <v>188</v>
      </c>
      <c r="D71">
        <v>0</v>
      </c>
      <c r="E71">
        <v>1</v>
      </c>
      <c r="F71">
        <v>2</v>
      </c>
      <c r="G71">
        <v>2</v>
      </c>
      <c r="H71">
        <v>1</v>
      </c>
      <c r="I71">
        <v>2</v>
      </c>
      <c r="J71">
        <v>2</v>
      </c>
      <c r="K71">
        <v>1</v>
      </c>
      <c r="L71">
        <v>1</v>
      </c>
      <c r="M71">
        <v>1</v>
      </c>
      <c r="N71">
        <v>1</v>
      </c>
      <c r="O71">
        <v>2</v>
      </c>
      <c r="P71">
        <v>1</v>
      </c>
      <c r="Q71">
        <v>5</v>
      </c>
      <c r="R71">
        <v>7</v>
      </c>
      <c r="S71">
        <v>1</v>
      </c>
      <c r="T71">
        <v>0</v>
      </c>
      <c r="V71" t="b">
        <f t="shared" si="13"/>
        <v>1</v>
      </c>
      <c r="W71" t="b">
        <f t="shared" si="14"/>
        <v>1</v>
      </c>
      <c r="X71" t="b">
        <f t="shared" si="15"/>
        <v>1</v>
      </c>
      <c r="Y71" t="b">
        <f t="shared" si="16"/>
        <v>1</v>
      </c>
      <c r="Z71" t="b">
        <f t="shared" si="17"/>
        <v>1</v>
      </c>
      <c r="AA71" t="b">
        <f t="shared" si="18"/>
        <v>0</v>
      </c>
      <c r="AB71" t="b">
        <f t="shared" si="19"/>
        <v>0</v>
      </c>
      <c r="AC71" t="b">
        <f t="shared" si="20"/>
        <v>0</v>
      </c>
      <c r="AD71" t="b">
        <f t="shared" si="21"/>
        <v>0</v>
      </c>
      <c r="AE71" t="b">
        <f t="shared" si="22"/>
        <v>0</v>
      </c>
      <c r="AF71" t="b">
        <f t="shared" si="23"/>
        <v>0</v>
      </c>
      <c r="AG71" t="b">
        <f t="shared" si="24"/>
        <v>0</v>
      </c>
      <c r="AH71" t="b">
        <f t="shared" si="25"/>
        <v>0</v>
      </c>
    </row>
    <row r="72" spans="1:34" x14ac:dyDescent="0.2">
      <c r="A72" t="s">
        <v>145</v>
      </c>
      <c r="B72" t="s">
        <v>188</v>
      </c>
      <c r="C72" t="s">
        <v>188</v>
      </c>
      <c r="D72">
        <v>0</v>
      </c>
      <c r="E72">
        <v>0</v>
      </c>
      <c r="F72">
        <v>1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P72">
        <v>0</v>
      </c>
      <c r="Q72">
        <v>0</v>
      </c>
      <c r="R72">
        <v>2</v>
      </c>
      <c r="S72">
        <v>10</v>
      </c>
      <c r="T72">
        <v>1</v>
      </c>
      <c r="V72" t="b">
        <f t="shared" si="13"/>
        <v>0</v>
      </c>
      <c r="W72" t="b">
        <f t="shared" si="14"/>
        <v>0</v>
      </c>
      <c r="X72" t="b">
        <f t="shared" si="15"/>
        <v>0</v>
      </c>
      <c r="Y72" t="b">
        <f t="shared" si="16"/>
        <v>0</v>
      </c>
      <c r="Z72" t="b">
        <f t="shared" si="17"/>
        <v>0</v>
      </c>
      <c r="AA72" t="b">
        <f t="shared" si="18"/>
        <v>0</v>
      </c>
      <c r="AB72" t="b">
        <f t="shared" si="19"/>
        <v>0</v>
      </c>
      <c r="AC72" t="b">
        <f t="shared" si="20"/>
        <v>0</v>
      </c>
      <c r="AD72" t="b">
        <f t="shared" si="21"/>
        <v>0</v>
      </c>
      <c r="AE72" t="b">
        <f t="shared" si="22"/>
        <v>0</v>
      </c>
      <c r="AF72" t="b">
        <f t="shared" si="23"/>
        <v>0</v>
      </c>
      <c r="AG72" t="b">
        <f t="shared" si="24"/>
        <v>0</v>
      </c>
      <c r="AH72" t="b">
        <f t="shared" si="25"/>
        <v>0</v>
      </c>
    </row>
    <row r="73" spans="1:34" x14ac:dyDescent="0.2">
      <c r="A73" t="s">
        <v>189</v>
      </c>
      <c r="B73" t="s">
        <v>190</v>
      </c>
      <c r="C73" t="s">
        <v>190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13</v>
      </c>
      <c r="T73">
        <v>0</v>
      </c>
      <c r="V73" t="b">
        <f t="shared" si="13"/>
        <v>0</v>
      </c>
      <c r="W73" t="b">
        <f t="shared" si="14"/>
        <v>0</v>
      </c>
      <c r="X73" t="b">
        <f t="shared" si="15"/>
        <v>0</v>
      </c>
      <c r="Y73" t="b">
        <f t="shared" si="16"/>
        <v>0</v>
      </c>
      <c r="Z73" t="b">
        <f t="shared" si="17"/>
        <v>0</v>
      </c>
      <c r="AA73" t="b">
        <f t="shared" si="18"/>
        <v>0</v>
      </c>
      <c r="AB73" t="b">
        <f t="shared" si="19"/>
        <v>0</v>
      </c>
      <c r="AC73" t="b">
        <f t="shared" si="20"/>
        <v>0</v>
      </c>
      <c r="AD73" t="b">
        <f t="shared" si="21"/>
        <v>0</v>
      </c>
      <c r="AE73" t="b">
        <f t="shared" si="22"/>
        <v>0</v>
      </c>
      <c r="AF73" t="b">
        <f t="shared" si="23"/>
        <v>0</v>
      </c>
      <c r="AG73" t="b">
        <f t="shared" si="24"/>
        <v>0</v>
      </c>
      <c r="AH73" t="b">
        <f t="shared" si="25"/>
        <v>0</v>
      </c>
    </row>
    <row r="74" spans="1:34" x14ac:dyDescent="0.2">
      <c r="A74" t="s">
        <v>191</v>
      </c>
      <c r="B74" t="s">
        <v>190</v>
      </c>
      <c r="C74" t="s">
        <v>190</v>
      </c>
      <c r="D74">
        <v>0</v>
      </c>
      <c r="E74">
        <v>2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2</v>
      </c>
      <c r="M74">
        <v>0</v>
      </c>
      <c r="N74">
        <v>0</v>
      </c>
      <c r="O74">
        <v>0</v>
      </c>
      <c r="P74">
        <v>0</v>
      </c>
      <c r="Q74">
        <v>2</v>
      </c>
      <c r="R74">
        <v>0</v>
      </c>
      <c r="S74">
        <v>11</v>
      </c>
      <c r="T74">
        <v>0</v>
      </c>
      <c r="V74" t="b">
        <f t="shared" si="13"/>
        <v>1</v>
      </c>
      <c r="W74" t="b">
        <f t="shared" si="14"/>
        <v>1</v>
      </c>
      <c r="X74" t="b">
        <f t="shared" si="15"/>
        <v>0</v>
      </c>
      <c r="Y74" t="b">
        <f t="shared" si="16"/>
        <v>0</v>
      </c>
      <c r="Z74" t="b">
        <f t="shared" si="17"/>
        <v>0</v>
      </c>
      <c r="AA74" t="b">
        <f t="shared" si="18"/>
        <v>0</v>
      </c>
      <c r="AB74" t="b">
        <f t="shared" si="19"/>
        <v>0</v>
      </c>
      <c r="AC74" t="b">
        <f t="shared" si="20"/>
        <v>0</v>
      </c>
      <c r="AD74" t="b">
        <f t="shared" si="21"/>
        <v>0</v>
      </c>
      <c r="AE74" t="b">
        <f t="shared" si="22"/>
        <v>0</v>
      </c>
      <c r="AF74" t="b">
        <f t="shared" si="23"/>
        <v>0</v>
      </c>
      <c r="AG74" t="b">
        <f t="shared" si="24"/>
        <v>0</v>
      </c>
      <c r="AH74" t="b">
        <f t="shared" si="25"/>
        <v>0</v>
      </c>
    </row>
    <row r="75" spans="1:34" x14ac:dyDescent="0.2">
      <c r="A75" t="s">
        <v>192</v>
      </c>
      <c r="B75" t="s">
        <v>190</v>
      </c>
      <c r="C75" t="s">
        <v>190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2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12</v>
      </c>
      <c r="T75">
        <v>0</v>
      </c>
      <c r="V75" t="b">
        <f t="shared" si="13"/>
        <v>1</v>
      </c>
      <c r="W75" t="b">
        <f t="shared" si="14"/>
        <v>0</v>
      </c>
      <c r="X75" t="b">
        <f t="shared" si="15"/>
        <v>0</v>
      </c>
      <c r="Y75" t="b">
        <f t="shared" si="16"/>
        <v>0</v>
      </c>
      <c r="Z75" t="b">
        <f t="shared" si="17"/>
        <v>0</v>
      </c>
      <c r="AA75" t="b">
        <f t="shared" si="18"/>
        <v>0</v>
      </c>
      <c r="AB75" t="b">
        <f t="shared" si="19"/>
        <v>0</v>
      </c>
      <c r="AC75" t="b">
        <f t="shared" si="20"/>
        <v>0</v>
      </c>
      <c r="AD75" t="b">
        <f t="shared" si="21"/>
        <v>0</v>
      </c>
      <c r="AE75" t="b">
        <f t="shared" si="22"/>
        <v>0</v>
      </c>
      <c r="AF75" t="b">
        <f t="shared" si="23"/>
        <v>0</v>
      </c>
      <c r="AG75" t="b">
        <f t="shared" si="24"/>
        <v>0</v>
      </c>
      <c r="AH75" t="b">
        <f t="shared" si="25"/>
        <v>0</v>
      </c>
    </row>
    <row r="76" spans="1:34" x14ac:dyDescent="0.2">
      <c r="A76" t="s">
        <v>193</v>
      </c>
      <c r="B76" t="s">
        <v>194</v>
      </c>
      <c r="C76" t="s">
        <v>96</v>
      </c>
      <c r="D76">
        <v>0</v>
      </c>
      <c r="E76">
        <v>0</v>
      </c>
      <c r="F76">
        <v>1</v>
      </c>
      <c r="G76">
        <v>1</v>
      </c>
      <c r="H76">
        <v>0</v>
      </c>
      <c r="I76">
        <v>0</v>
      </c>
      <c r="J76">
        <v>1</v>
      </c>
      <c r="K76">
        <v>0</v>
      </c>
      <c r="L76">
        <v>2</v>
      </c>
      <c r="M76">
        <v>0</v>
      </c>
      <c r="N76">
        <v>0</v>
      </c>
      <c r="O76">
        <v>2</v>
      </c>
      <c r="P76">
        <v>0</v>
      </c>
      <c r="Q76">
        <v>2</v>
      </c>
      <c r="R76">
        <v>3</v>
      </c>
      <c r="S76">
        <v>8</v>
      </c>
      <c r="T76">
        <v>0</v>
      </c>
      <c r="V76" t="b">
        <f t="shared" si="13"/>
        <v>1</v>
      </c>
      <c r="W76" t="b">
        <f t="shared" si="14"/>
        <v>1</v>
      </c>
      <c r="X76" t="b">
        <f t="shared" si="15"/>
        <v>0</v>
      </c>
      <c r="Y76" t="b">
        <f t="shared" si="16"/>
        <v>0</v>
      </c>
      <c r="Z76" t="b">
        <f t="shared" si="17"/>
        <v>0</v>
      </c>
      <c r="AA76" t="b">
        <f t="shared" si="18"/>
        <v>0</v>
      </c>
      <c r="AB76" t="b">
        <f t="shared" si="19"/>
        <v>0</v>
      </c>
      <c r="AC76" t="b">
        <f t="shared" si="20"/>
        <v>0</v>
      </c>
      <c r="AD76" t="b">
        <f t="shared" si="21"/>
        <v>0</v>
      </c>
      <c r="AE76" t="b">
        <f t="shared" si="22"/>
        <v>0</v>
      </c>
      <c r="AF76" t="b">
        <f t="shared" si="23"/>
        <v>0</v>
      </c>
      <c r="AG76" t="b">
        <f t="shared" si="24"/>
        <v>0</v>
      </c>
      <c r="AH76" t="b">
        <f t="shared" si="25"/>
        <v>0</v>
      </c>
    </row>
    <row r="77" spans="1:34" x14ac:dyDescent="0.2">
      <c r="A77" t="s">
        <v>136</v>
      </c>
      <c r="B77" t="s">
        <v>96</v>
      </c>
      <c r="C77" t="s">
        <v>96</v>
      </c>
      <c r="D77">
        <v>1</v>
      </c>
      <c r="E77">
        <v>0</v>
      </c>
      <c r="F77">
        <v>2</v>
      </c>
      <c r="G77">
        <v>2</v>
      </c>
      <c r="H77">
        <v>2</v>
      </c>
      <c r="I77">
        <v>1</v>
      </c>
      <c r="J77">
        <v>2</v>
      </c>
      <c r="K77">
        <v>1</v>
      </c>
      <c r="L77">
        <v>2</v>
      </c>
      <c r="M77">
        <v>2</v>
      </c>
      <c r="N77">
        <v>1</v>
      </c>
      <c r="O77">
        <v>1</v>
      </c>
      <c r="P77">
        <v>1</v>
      </c>
      <c r="Q77">
        <v>6</v>
      </c>
      <c r="R77">
        <v>6</v>
      </c>
      <c r="S77">
        <v>1</v>
      </c>
      <c r="T77">
        <v>0</v>
      </c>
      <c r="V77" t="b">
        <f t="shared" si="13"/>
        <v>1</v>
      </c>
      <c r="W77" t="b">
        <f t="shared" si="14"/>
        <v>1</v>
      </c>
      <c r="X77" t="b">
        <f t="shared" si="15"/>
        <v>1</v>
      </c>
      <c r="Y77" t="b">
        <f t="shared" si="16"/>
        <v>1</v>
      </c>
      <c r="Z77" t="b">
        <f t="shared" si="17"/>
        <v>1</v>
      </c>
      <c r="AA77" t="b">
        <f t="shared" si="18"/>
        <v>1</v>
      </c>
      <c r="AB77" t="b">
        <f t="shared" si="19"/>
        <v>0</v>
      </c>
      <c r="AC77" t="b">
        <f t="shared" si="20"/>
        <v>0</v>
      </c>
      <c r="AD77" t="b">
        <f t="shared" si="21"/>
        <v>0</v>
      </c>
      <c r="AE77" t="b">
        <f t="shared" si="22"/>
        <v>0</v>
      </c>
      <c r="AF77" t="b">
        <f t="shared" si="23"/>
        <v>0</v>
      </c>
      <c r="AG77" t="b">
        <f t="shared" si="24"/>
        <v>0</v>
      </c>
      <c r="AH77" t="b">
        <f t="shared" si="25"/>
        <v>0</v>
      </c>
    </row>
    <row r="78" spans="1:34" x14ac:dyDescent="0.2">
      <c r="A78" t="s">
        <v>195</v>
      </c>
      <c r="B78" t="s">
        <v>96</v>
      </c>
      <c r="C78" t="s">
        <v>96</v>
      </c>
      <c r="D78">
        <v>0</v>
      </c>
      <c r="E78">
        <v>0</v>
      </c>
      <c r="F78">
        <v>1</v>
      </c>
      <c r="G78">
        <v>1</v>
      </c>
      <c r="H78">
        <v>0</v>
      </c>
      <c r="I78">
        <v>0</v>
      </c>
      <c r="J78">
        <v>1</v>
      </c>
      <c r="K78">
        <v>2</v>
      </c>
      <c r="L78">
        <v>0</v>
      </c>
      <c r="M78">
        <v>1</v>
      </c>
      <c r="N78">
        <v>0</v>
      </c>
      <c r="O78">
        <v>2</v>
      </c>
      <c r="P78">
        <v>0</v>
      </c>
      <c r="Q78">
        <v>2</v>
      </c>
      <c r="R78">
        <v>4</v>
      </c>
      <c r="S78">
        <v>7</v>
      </c>
      <c r="T78">
        <v>0</v>
      </c>
      <c r="V78" t="b">
        <f t="shared" si="13"/>
        <v>1</v>
      </c>
      <c r="W78" t="b">
        <f t="shared" si="14"/>
        <v>1</v>
      </c>
      <c r="X78" t="b">
        <f t="shared" si="15"/>
        <v>0</v>
      </c>
      <c r="Y78" t="b">
        <f t="shared" si="16"/>
        <v>0</v>
      </c>
      <c r="Z78" t="b">
        <f t="shared" si="17"/>
        <v>0</v>
      </c>
      <c r="AA78" t="b">
        <f t="shared" si="18"/>
        <v>0</v>
      </c>
      <c r="AB78" t="b">
        <f t="shared" si="19"/>
        <v>0</v>
      </c>
      <c r="AC78" t="b">
        <f t="shared" si="20"/>
        <v>0</v>
      </c>
      <c r="AD78" t="b">
        <f t="shared" si="21"/>
        <v>0</v>
      </c>
      <c r="AE78" t="b">
        <f t="shared" si="22"/>
        <v>0</v>
      </c>
      <c r="AF78" t="b">
        <f t="shared" si="23"/>
        <v>0</v>
      </c>
      <c r="AG78" t="b">
        <f t="shared" si="24"/>
        <v>0</v>
      </c>
      <c r="AH78" t="b">
        <f t="shared" si="25"/>
        <v>0</v>
      </c>
    </row>
    <row r="79" spans="1:34" x14ac:dyDescent="0.2">
      <c r="A79" t="s">
        <v>196</v>
      </c>
      <c r="B79" t="s">
        <v>96</v>
      </c>
      <c r="C79" t="s">
        <v>96</v>
      </c>
      <c r="D79">
        <v>0</v>
      </c>
      <c r="E79">
        <v>0</v>
      </c>
      <c r="F79">
        <v>2</v>
      </c>
      <c r="G79">
        <v>2</v>
      </c>
      <c r="H79">
        <v>0</v>
      </c>
      <c r="I79">
        <v>1</v>
      </c>
      <c r="J79">
        <v>2</v>
      </c>
      <c r="K79">
        <v>2</v>
      </c>
      <c r="L79">
        <v>1</v>
      </c>
      <c r="M79">
        <v>1</v>
      </c>
      <c r="N79">
        <v>0</v>
      </c>
      <c r="O79">
        <v>2</v>
      </c>
      <c r="P79">
        <v>1</v>
      </c>
      <c r="Q79">
        <v>5</v>
      </c>
      <c r="R79">
        <v>4</v>
      </c>
      <c r="S79">
        <v>4</v>
      </c>
      <c r="T79">
        <v>0</v>
      </c>
      <c r="V79" t="b">
        <f t="shared" si="13"/>
        <v>1</v>
      </c>
      <c r="W79" t="b">
        <f t="shared" si="14"/>
        <v>1</v>
      </c>
      <c r="X79" t="b">
        <f t="shared" si="15"/>
        <v>1</v>
      </c>
      <c r="Y79" t="b">
        <f t="shared" si="16"/>
        <v>1</v>
      </c>
      <c r="Z79" t="b">
        <f t="shared" si="17"/>
        <v>1</v>
      </c>
      <c r="AA79" t="b">
        <f t="shared" si="18"/>
        <v>0</v>
      </c>
      <c r="AB79" t="b">
        <f t="shared" si="19"/>
        <v>0</v>
      </c>
      <c r="AC79" t="b">
        <f t="shared" si="20"/>
        <v>0</v>
      </c>
      <c r="AD79" t="b">
        <f t="shared" si="21"/>
        <v>0</v>
      </c>
      <c r="AE79" t="b">
        <f t="shared" si="22"/>
        <v>0</v>
      </c>
      <c r="AF79" t="b">
        <f t="shared" si="23"/>
        <v>0</v>
      </c>
      <c r="AG79" t="b">
        <f t="shared" si="24"/>
        <v>0</v>
      </c>
      <c r="AH79" t="b">
        <f t="shared" si="25"/>
        <v>0</v>
      </c>
    </row>
    <row r="80" spans="1:34" x14ac:dyDescent="0.2">
      <c r="A80" t="s">
        <v>193</v>
      </c>
      <c r="B80" t="s">
        <v>96</v>
      </c>
      <c r="C80" t="s">
        <v>96</v>
      </c>
      <c r="D80">
        <v>0</v>
      </c>
      <c r="E80">
        <v>1</v>
      </c>
      <c r="F80">
        <v>1</v>
      </c>
      <c r="G80">
        <v>1</v>
      </c>
      <c r="H80">
        <v>0</v>
      </c>
      <c r="I80">
        <v>1</v>
      </c>
      <c r="J80">
        <v>1</v>
      </c>
      <c r="K80">
        <v>1</v>
      </c>
      <c r="L80">
        <v>0</v>
      </c>
      <c r="M80">
        <v>0</v>
      </c>
      <c r="N80">
        <v>0</v>
      </c>
      <c r="O80">
        <v>2</v>
      </c>
      <c r="P80">
        <v>0</v>
      </c>
      <c r="Q80">
        <v>1</v>
      </c>
      <c r="R80">
        <v>6</v>
      </c>
      <c r="S80">
        <v>6</v>
      </c>
      <c r="T80">
        <v>0</v>
      </c>
      <c r="V80" t="b">
        <f t="shared" si="13"/>
        <v>1</v>
      </c>
      <c r="W80" t="b">
        <f t="shared" si="14"/>
        <v>0</v>
      </c>
      <c r="X80" t="b">
        <f t="shared" si="15"/>
        <v>0</v>
      </c>
      <c r="Y80" t="b">
        <f t="shared" si="16"/>
        <v>0</v>
      </c>
      <c r="Z80" t="b">
        <f t="shared" si="17"/>
        <v>0</v>
      </c>
      <c r="AA80" t="b">
        <f t="shared" si="18"/>
        <v>0</v>
      </c>
      <c r="AB80" t="b">
        <f t="shared" si="19"/>
        <v>0</v>
      </c>
      <c r="AC80" t="b">
        <f t="shared" si="20"/>
        <v>0</v>
      </c>
      <c r="AD80" t="b">
        <f t="shared" si="21"/>
        <v>0</v>
      </c>
      <c r="AE80" t="b">
        <f t="shared" si="22"/>
        <v>0</v>
      </c>
      <c r="AF80" t="b">
        <f t="shared" si="23"/>
        <v>0</v>
      </c>
      <c r="AG80" t="b">
        <f t="shared" si="24"/>
        <v>0</v>
      </c>
      <c r="AH80" t="b">
        <f t="shared" si="25"/>
        <v>0</v>
      </c>
    </row>
    <row r="81" spans="1:34" x14ac:dyDescent="0.2">
      <c r="A81" t="s">
        <v>197</v>
      </c>
      <c r="B81" t="s">
        <v>96</v>
      </c>
      <c r="C81" t="s">
        <v>96</v>
      </c>
      <c r="D81">
        <v>1</v>
      </c>
      <c r="E81">
        <v>1</v>
      </c>
      <c r="F81">
        <v>2</v>
      </c>
      <c r="G81">
        <v>2</v>
      </c>
      <c r="H81">
        <v>2</v>
      </c>
      <c r="I81">
        <v>1</v>
      </c>
      <c r="J81">
        <v>0</v>
      </c>
      <c r="K81">
        <v>2</v>
      </c>
      <c r="L81">
        <v>1</v>
      </c>
      <c r="M81">
        <v>2</v>
      </c>
      <c r="N81">
        <v>1</v>
      </c>
      <c r="O81">
        <v>2</v>
      </c>
      <c r="P81">
        <v>1</v>
      </c>
      <c r="Q81">
        <v>6</v>
      </c>
      <c r="R81">
        <v>6</v>
      </c>
      <c r="S81">
        <v>1</v>
      </c>
      <c r="T81">
        <v>0</v>
      </c>
      <c r="V81" t="b">
        <f t="shared" si="13"/>
        <v>1</v>
      </c>
      <c r="W81" t="b">
        <f t="shared" si="14"/>
        <v>1</v>
      </c>
      <c r="X81" t="b">
        <f t="shared" si="15"/>
        <v>1</v>
      </c>
      <c r="Y81" t="b">
        <f t="shared" si="16"/>
        <v>1</v>
      </c>
      <c r="Z81" t="b">
        <f t="shared" si="17"/>
        <v>1</v>
      </c>
      <c r="AA81" t="b">
        <f t="shared" si="18"/>
        <v>1</v>
      </c>
      <c r="AB81" t="b">
        <f t="shared" si="19"/>
        <v>0</v>
      </c>
      <c r="AC81" t="b">
        <f t="shared" si="20"/>
        <v>0</v>
      </c>
      <c r="AD81" t="b">
        <f t="shared" si="21"/>
        <v>0</v>
      </c>
      <c r="AE81" t="b">
        <f t="shared" si="22"/>
        <v>0</v>
      </c>
      <c r="AF81" t="b">
        <f t="shared" si="23"/>
        <v>0</v>
      </c>
      <c r="AG81" t="b">
        <f t="shared" si="24"/>
        <v>0</v>
      </c>
      <c r="AH81" t="b">
        <f t="shared" si="25"/>
        <v>0</v>
      </c>
    </row>
    <row r="82" spans="1:34" x14ac:dyDescent="0.2">
      <c r="A82" t="s">
        <v>198</v>
      </c>
      <c r="B82" t="s">
        <v>199</v>
      </c>
      <c r="C82" t="s">
        <v>199</v>
      </c>
      <c r="D82">
        <v>0</v>
      </c>
      <c r="E82">
        <v>1</v>
      </c>
      <c r="F82">
        <v>1</v>
      </c>
      <c r="G82">
        <v>1</v>
      </c>
      <c r="H82">
        <v>0</v>
      </c>
      <c r="I82">
        <v>0</v>
      </c>
      <c r="J82">
        <v>1</v>
      </c>
      <c r="K82">
        <v>2</v>
      </c>
      <c r="L82">
        <v>1</v>
      </c>
      <c r="M82">
        <v>0</v>
      </c>
      <c r="N82">
        <v>0</v>
      </c>
      <c r="O82">
        <v>0</v>
      </c>
      <c r="P82">
        <v>0</v>
      </c>
      <c r="Q82">
        <v>1</v>
      </c>
      <c r="R82">
        <v>5</v>
      </c>
      <c r="S82">
        <v>7</v>
      </c>
      <c r="T82">
        <v>0</v>
      </c>
      <c r="V82" t="b">
        <f t="shared" si="13"/>
        <v>1</v>
      </c>
      <c r="W82" t="b">
        <f t="shared" si="14"/>
        <v>0</v>
      </c>
      <c r="X82" t="b">
        <f t="shared" si="15"/>
        <v>0</v>
      </c>
      <c r="Y82" t="b">
        <f t="shared" si="16"/>
        <v>0</v>
      </c>
      <c r="Z82" t="b">
        <f t="shared" si="17"/>
        <v>0</v>
      </c>
      <c r="AA82" t="b">
        <f t="shared" si="18"/>
        <v>0</v>
      </c>
      <c r="AB82" t="b">
        <f t="shared" si="19"/>
        <v>0</v>
      </c>
      <c r="AC82" t="b">
        <f t="shared" si="20"/>
        <v>0</v>
      </c>
      <c r="AD82" t="b">
        <f t="shared" si="21"/>
        <v>0</v>
      </c>
      <c r="AE82" t="b">
        <f t="shared" si="22"/>
        <v>0</v>
      </c>
      <c r="AF82" t="b">
        <f t="shared" si="23"/>
        <v>0</v>
      </c>
      <c r="AG82" t="b">
        <f t="shared" si="24"/>
        <v>0</v>
      </c>
      <c r="AH82" t="b">
        <f t="shared" si="25"/>
        <v>0</v>
      </c>
    </row>
    <row r="83" spans="1:34" x14ac:dyDescent="0.2">
      <c r="A83" t="s">
        <v>182</v>
      </c>
      <c r="B83" t="s">
        <v>199</v>
      </c>
      <c r="C83" t="s">
        <v>199</v>
      </c>
      <c r="D83">
        <v>0</v>
      </c>
      <c r="E83">
        <v>1</v>
      </c>
      <c r="F83">
        <v>1</v>
      </c>
      <c r="G83">
        <v>0</v>
      </c>
      <c r="H83">
        <v>0</v>
      </c>
      <c r="I83">
        <v>0</v>
      </c>
      <c r="J83">
        <v>1</v>
      </c>
      <c r="K83">
        <v>0</v>
      </c>
      <c r="L83">
        <v>1</v>
      </c>
      <c r="M83">
        <v>1</v>
      </c>
      <c r="N83">
        <v>0</v>
      </c>
      <c r="O83">
        <v>0</v>
      </c>
      <c r="P83">
        <v>0</v>
      </c>
      <c r="Q83">
        <v>0</v>
      </c>
      <c r="R83">
        <v>5</v>
      </c>
      <c r="S83">
        <v>8</v>
      </c>
      <c r="T83">
        <v>0</v>
      </c>
      <c r="V83" t="b">
        <f t="shared" si="13"/>
        <v>0</v>
      </c>
      <c r="W83" t="b">
        <f t="shared" si="14"/>
        <v>0</v>
      </c>
      <c r="X83" t="b">
        <f t="shared" si="15"/>
        <v>0</v>
      </c>
      <c r="Y83" t="b">
        <f t="shared" si="16"/>
        <v>0</v>
      </c>
      <c r="Z83" t="b">
        <f t="shared" si="17"/>
        <v>0</v>
      </c>
      <c r="AA83" t="b">
        <f t="shared" si="18"/>
        <v>0</v>
      </c>
      <c r="AB83" t="b">
        <f t="shared" si="19"/>
        <v>0</v>
      </c>
      <c r="AC83" t="b">
        <f t="shared" si="20"/>
        <v>0</v>
      </c>
      <c r="AD83" t="b">
        <f t="shared" si="21"/>
        <v>0</v>
      </c>
      <c r="AE83" t="b">
        <f t="shared" si="22"/>
        <v>0</v>
      </c>
      <c r="AF83" t="b">
        <f t="shared" si="23"/>
        <v>0</v>
      </c>
      <c r="AG83" t="b">
        <f t="shared" si="24"/>
        <v>0</v>
      </c>
      <c r="AH83" t="b">
        <f t="shared" si="25"/>
        <v>0</v>
      </c>
    </row>
    <row r="84" spans="1:34" x14ac:dyDescent="0.2">
      <c r="A84" t="s">
        <v>84</v>
      </c>
      <c r="B84" t="s">
        <v>199</v>
      </c>
      <c r="C84" t="s">
        <v>199</v>
      </c>
      <c r="D84">
        <v>0</v>
      </c>
      <c r="E84">
        <v>1</v>
      </c>
      <c r="F84">
        <v>1</v>
      </c>
      <c r="G84">
        <v>1</v>
      </c>
      <c r="H84">
        <v>2</v>
      </c>
      <c r="I84">
        <v>0</v>
      </c>
      <c r="J84">
        <v>2</v>
      </c>
      <c r="K84">
        <v>0</v>
      </c>
      <c r="L84">
        <v>1</v>
      </c>
      <c r="M84">
        <v>0</v>
      </c>
      <c r="N84">
        <v>1</v>
      </c>
      <c r="O84">
        <v>0</v>
      </c>
      <c r="P84">
        <v>1</v>
      </c>
      <c r="Q84">
        <v>2</v>
      </c>
      <c r="R84">
        <v>6</v>
      </c>
      <c r="S84">
        <v>5</v>
      </c>
      <c r="T84">
        <v>0</v>
      </c>
      <c r="V84" t="b">
        <f t="shared" si="13"/>
        <v>1</v>
      </c>
      <c r="W84" t="b">
        <f t="shared" si="14"/>
        <v>1</v>
      </c>
      <c r="X84" t="b">
        <f t="shared" si="15"/>
        <v>0</v>
      </c>
      <c r="Y84" t="b">
        <f t="shared" si="16"/>
        <v>0</v>
      </c>
      <c r="Z84" t="b">
        <f t="shared" si="17"/>
        <v>0</v>
      </c>
      <c r="AA84" t="b">
        <f t="shared" si="18"/>
        <v>0</v>
      </c>
      <c r="AB84" t="b">
        <f t="shared" si="19"/>
        <v>0</v>
      </c>
      <c r="AC84" t="b">
        <f t="shared" si="20"/>
        <v>0</v>
      </c>
      <c r="AD84" t="b">
        <f t="shared" si="21"/>
        <v>0</v>
      </c>
      <c r="AE84" t="b">
        <f t="shared" si="22"/>
        <v>0</v>
      </c>
      <c r="AF84" t="b">
        <f t="shared" si="23"/>
        <v>0</v>
      </c>
      <c r="AG84" t="b">
        <f t="shared" si="24"/>
        <v>0</v>
      </c>
      <c r="AH84" t="b">
        <f t="shared" si="25"/>
        <v>0</v>
      </c>
    </row>
    <row r="85" spans="1:34" x14ac:dyDescent="0.2">
      <c r="A85" t="s">
        <v>200</v>
      </c>
      <c r="B85" t="s">
        <v>201</v>
      </c>
      <c r="C85" t="s">
        <v>53</v>
      </c>
      <c r="E85">
        <v>1</v>
      </c>
      <c r="F85">
        <v>0</v>
      </c>
      <c r="G85">
        <v>0</v>
      </c>
      <c r="H85">
        <v>2</v>
      </c>
      <c r="I85">
        <v>0</v>
      </c>
      <c r="J85">
        <v>2</v>
      </c>
      <c r="K85">
        <v>0</v>
      </c>
      <c r="M85">
        <v>0</v>
      </c>
      <c r="N85">
        <v>0</v>
      </c>
      <c r="P85">
        <v>0</v>
      </c>
      <c r="Q85">
        <v>2</v>
      </c>
      <c r="R85">
        <v>1</v>
      </c>
      <c r="S85">
        <v>7</v>
      </c>
      <c r="T85">
        <v>3</v>
      </c>
      <c r="V85" t="b">
        <f t="shared" si="13"/>
        <v>1</v>
      </c>
      <c r="W85" t="b">
        <f t="shared" si="14"/>
        <v>1</v>
      </c>
      <c r="X85" t="b">
        <f t="shared" si="15"/>
        <v>0</v>
      </c>
      <c r="Y85" t="b">
        <f t="shared" si="16"/>
        <v>0</v>
      </c>
      <c r="Z85" t="b">
        <f t="shared" si="17"/>
        <v>0</v>
      </c>
      <c r="AA85" t="b">
        <f t="shared" si="18"/>
        <v>0</v>
      </c>
      <c r="AB85" t="b">
        <f t="shared" si="19"/>
        <v>0</v>
      </c>
      <c r="AC85" t="b">
        <f t="shared" si="20"/>
        <v>0</v>
      </c>
      <c r="AD85" t="b">
        <f t="shared" si="21"/>
        <v>0</v>
      </c>
      <c r="AE85" t="b">
        <f t="shared" si="22"/>
        <v>0</v>
      </c>
      <c r="AF85" t="b">
        <f t="shared" si="23"/>
        <v>0</v>
      </c>
      <c r="AG85" t="b">
        <f t="shared" si="24"/>
        <v>0</v>
      </c>
      <c r="AH85" t="b">
        <f t="shared" si="25"/>
        <v>0</v>
      </c>
    </row>
    <row r="86" spans="1:34" x14ac:dyDescent="0.2">
      <c r="A86" t="s">
        <v>202</v>
      </c>
      <c r="B86" t="s">
        <v>201</v>
      </c>
      <c r="C86" t="s">
        <v>53</v>
      </c>
      <c r="D86">
        <v>0</v>
      </c>
      <c r="E86">
        <v>2</v>
      </c>
      <c r="F86">
        <v>0</v>
      </c>
      <c r="G86">
        <v>2</v>
      </c>
      <c r="H86">
        <v>2</v>
      </c>
      <c r="I86">
        <v>0</v>
      </c>
      <c r="J86">
        <v>1</v>
      </c>
      <c r="K86">
        <v>0</v>
      </c>
      <c r="L86">
        <v>1</v>
      </c>
      <c r="M86">
        <v>0</v>
      </c>
      <c r="N86">
        <v>1</v>
      </c>
      <c r="O86">
        <v>1</v>
      </c>
      <c r="P86">
        <v>0</v>
      </c>
      <c r="Q86">
        <v>3</v>
      </c>
      <c r="R86">
        <v>4</v>
      </c>
      <c r="S86">
        <v>6</v>
      </c>
      <c r="T86">
        <v>0</v>
      </c>
      <c r="V86" t="b">
        <f t="shared" si="13"/>
        <v>1</v>
      </c>
      <c r="W86" t="b">
        <f t="shared" si="14"/>
        <v>1</v>
      </c>
      <c r="X86" t="b">
        <f t="shared" si="15"/>
        <v>1</v>
      </c>
      <c r="Y86" t="b">
        <f t="shared" si="16"/>
        <v>0</v>
      </c>
      <c r="Z86" t="b">
        <f t="shared" si="17"/>
        <v>0</v>
      </c>
      <c r="AA86" t="b">
        <f t="shared" si="18"/>
        <v>0</v>
      </c>
      <c r="AB86" t="b">
        <f t="shared" si="19"/>
        <v>0</v>
      </c>
      <c r="AC86" t="b">
        <f t="shared" si="20"/>
        <v>0</v>
      </c>
      <c r="AD86" t="b">
        <f t="shared" si="21"/>
        <v>0</v>
      </c>
      <c r="AE86" t="b">
        <f t="shared" si="22"/>
        <v>0</v>
      </c>
      <c r="AF86" t="b">
        <f t="shared" si="23"/>
        <v>0</v>
      </c>
      <c r="AG86" t="b">
        <f t="shared" si="24"/>
        <v>0</v>
      </c>
      <c r="AH86" t="b">
        <f t="shared" si="25"/>
        <v>0</v>
      </c>
    </row>
    <row r="87" spans="1:34" x14ac:dyDescent="0.2">
      <c r="A87" t="s">
        <v>203</v>
      </c>
      <c r="B87" t="s">
        <v>201</v>
      </c>
      <c r="C87" t="s">
        <v>53</v>
      </c>
      <c r="D87">
        <v>2</v>
      </c>
      <c r="E87">
        <v>2</v>
      </c>
      <c r="F87">
        <v>2</v>
      </c>
      <c r="G87">
        <v>2</v>
      </c>
      <c r="H87">
        <v>1</v>
      </c>
      <c r="I87">
        <v>0</v>
      </c>
      <c r="J87">
        <v>2</v>
      </c>
      <c r="K87">
        <v>2</v>
      </c>
      <c r="L87">
        <v>1</v>
      </c>
      <c r="M87">
        <v>2</v>
      </c>
      <c r="N87">
        <v>2</v>
      </c>
      <c r="O87">
        <v>2</v>
      </c>
      <c r="P87">
        <v>0</v>
      </c>
      <c r="Q87">
        <v>9</v>
      </c>
      <c r="R87">
        <v>2</v>
      </c>
      <c r="S87">
        <v>2</v>
      </c>
      <c r="T87">
        <v>0</v>
      </c>
      <c r="V87" t="b">
        <f t="shared" si="13"/>
        <v>1</v>
      </c>
      <c r="W87" t="b">
        <f t="shared" si="14"/>
        <v>1</v>
      </c>
      <c r="X87" t="b">
        <f t="shared" si="15"/>
        <v>1</v>
      </c>
      <c r="Y87" t="b">
        <f t="shared" si="16"/>
        <v>1</v>
      </c>
      <c r="Z87" t="b">
        <f t="shared" si="17"/>
        <v>1</v>
      </c>
      <c r="AA87" t="b">
        <f t="shared" si="18"/>
        <v>1</v>
      </c>
      <c r="AB87" t="b">
        <f t="shared" si="19"/>
        <v>1</v>
      </c>
      <c r="AC87" t="b">
        <f t="shared" si="20"/>
        <v>1</v>
      </c>
      <c r="AD87" t="b">
        <f t="shared" si="21"/>
        <v>1</v>
      </c>
      <c r="AE87" t="b">
        <f t="shared" si="22"/>
        <v>0</v>
      </c>
      <c r="AF87" t="b">
        <f t="shared" si="23"/>
        <v>0</v>
      </c>
      <c r="AG87" t="b">
        <f t="shared" si="24"/>
        <v>0</v>
      </c>
      <c r="AH87" t="b">
        <f t="shared" si="25"/>
        <v>0</v>
      </c>
    </row>
    <row r="88" spans="1:34" x14ac:dyDescent="0.2">
      <c r="A88" t="s">
        <v>204</v>
      </c>
      <c r="B88" t="s">
        <v>201</v>
      </c>
      <c r="C88" t="s">
        <v>53</v>
      </c>
      <c r="D88">
        <v>1</v>
      </c>
      <c r="E88">
        <v>2</v>
      </c>
      <c r="F88">
        <v>2</v>
      </c>
      <c r="G88">
        <v>2</v>
      </c>
      <c r="H88">
        <v>1</v>
      </c>
      <c r="I88">
        <v>0</v>
      </c>
      <c r="J88">
        <v>2</v>
      </c>
      <c r="K88">
        <v>2</v>
      </c>
      <c r="L88">
        <v>1</v>
      </c>
      <c r="M88">
        <v>2</v>
      </c>
      <c r="N88">
        <v>1</v>
      </c>
      <c r="O88">
        <v>2</v>
      </c>
      <c r="P88">
        <v>2</v>
      </c>
      <c r="Q88">
        <v>8</v>
      </c>
      <c r="R88">
        <v>4</v>
      </c>
      <c r="S88">
        <v>1</v>
      </c>
      <c r="T88">
        <v>0</v>
      </c>
      <c r="V88" t="b">
        <f t="shared" si="13"/>
        <v>1</v>
      </c>
      <c r="W88" t="b">
        <f t="shared" si="14"/>
        <v>1</v>
      </c>
      <c r="X88" t="b">
        <f t="shared" si="15"/>
        <v>1</v>
      </c>
      <c r="Y88" t="b">
        <f t="shared" si="16"/>
        <v>1</v>
      </c>
      <c r="Z88" t="b">
        <f t="shared" si="17"/>
        <v>1</v>
      </c>
      <c r="AA88" t="b">
        <f t="shared" si="18"/>
        <v>1</v>
      </c>
      <c r="AB88" t="b">
        <f t="shared" si="19"/>
        <v>1</v>
      </c>
      <c r="AC88" t="b">
        <f t="shared" si="20"/>
        <v>1</v>
      </c>
      <c r="AD88" t="b">
        <f t="shared" si="21"/>
        <v>0</v>
      </c>
      <c r="AE88" t="b">
        <f t="shared" si="22"/>
        <v>0</v>
      </c>
      <c r="AF88" t="b">
        <f t="shared" si="23"/>
        <v>0</v>
      </c>
      <c r="AG88" t="b">
        <f t="shared" si="24"/>
        <v>0</v>
      </c>
      <c r="AH88" t="b">
        <f t="shared" si="25"/>
        <v>0</v>
      </c>
    </row>
    <row r="89" spans="1:34" x14ac:dyDescent="0.2">
      <c r="A89" t="s">
        <v>205</v>
      </c>
      <c r="B89" t="s">
        <v>206</v>
      </c>
      <c r="C89" t="s">
        <v>206</v>
      </c>
      <c r="D89">
        <v>2</v>
      </c>
      <c r="E89">
        <v>2</v>
      </c>
      <c r="F89">
        <v>2</v>
      </c>
      <c r="G89">
        <v>2</v>
      </c>
      <c r="H89">
        <v>2</v>
      </c>
      <c r="I89">
        <v>2</v>
      </c>
      <c r="J89">
        <v>2</v>
      </c>
      <c r="K89">
        <v>1</v>
      </c>
      <c r="L89">
        <v>1</v>
      </c>
      <c r="M89">
        <v>1</v>
      </c>
      <c r="N89">
        <v>1</v>
      </c>
      <c r="O89">
        <v>2</v>
      </c>
      <c r="P89">
        <v>2</v>
      </c>
      <c r="Q89">
        <v>9</v>
      </c>
      <c r="R89">
        <v>4</v>
      </c>
      <c r="S89">
        <v>0</v>
      </c>
      <c r="T89">
        <v>0</v>
      </c>
      <c r="V89" t="b">
        <f t="shared" si="13"/>
        <v>1</v>
      </c>
      <c r="W89" t="b">
        <f t="shared" si="14"/>
        <v>1</v>
      </c>
      <c r="X89" t="b">
        <f t="shared" si="15"/>
        <v>1</v>
      </c>
      <c r="Y89" t="b">
        <f t="shared" si="16"/>
        <v>1</v>
      </c>
      <c r="Z89" t="b">
        <f t="shared" si="17"/>
        <v>1</v>
      </c>
      <c r="AA89" t="b">
        <f t="shared" si="18"/>
        <v>1</v>
      </c>
      <c r="AB89" t="b">
        <f t="shared" si="19"/>
        <v>1</v>
      </c>
      <c r="AC89" t="b">
        <f t="shared" si="20"/>
        <v>1</v>
      </c>
      <c r="AD89" t="b">
        <f t="shared" si="21"/>
        <v>1</v>
      </c>
      <c r="AE89" t="b">
        <f t="shared" si="22"/>
        <v>0</v>
      </c>
      <c r="AF89" t="b">
        <f t="shared" si="23"/>
        <v>0</v>
      </c>
      <c r="AG89" t="b">
        <f t="shared" si="24"/>
        <v>0</v>
      </c>
      <c r="AH89" t="b">
        <f t="shared" si="25"/>
        <v>0</v>
      </c>
    </row>
    <row r="90" spans="1:34" x14ac:dyDescent="0.2">
      <c r="A90" t="s">
        <v>207</v>
      </c>
      <c r="B90" t="s">
        <v>206</v>
      </c>
      <c r="C90" t="s">
        <v>206</v>
      </c>
      <c r="D90">
        <v>2</v>
      </c>
      <c r="E90">
        <v>0</v>
      </c>
      <c r="F90">
        <v>2</v>
      </c>
      <c r="G90">
        <v>2</v>
      </c>
      <c r="H90">
        <v>2</v>
      </c>
      <c r="I90">
        <v>2</v>
      </c>
      <c r="J90">
        <v>1</v>
      </c>
      <c r="K90">
        <v>1</v>
      </c>
      <c r="L90">
        <v>1</v>
      </c>
      <c r="M90">
        <v>1</v>
      </c>
      <c r="N90">
        <v>1</v>
      </c>
      <c r="O90">
        <v>2</v>
      </c>
      <c r="P90">
        <v>2</v>
      </c>
      <c r="Q90">
        <v>7</v>
      </c>
      <c r="R90">
        <v>5</v>
      </c>
      <c r="S90">
        <v>1</v>
      </c>
      <c r="T90">
        <v>0</v>
      </c>
      <c r="V90" t="b">
        <f t="shared" si="13"/>
        <v>1</v>
      </c>
      <c r="W90" t="b">
        <f t="shared" si="14"/>
        <v>1</v>
      </c>
      <c r="X90" t="b">
        <f t="shared" si="15"/>
        <v>1</v>
      </c>
      <c r="Y90" t="b">
        <f t="shared" si="16"/>
        <v>1</v>
      </c>
      <c r="Z90" t="b">
        <f t="shared" si="17"/>
        <v>1</v>
      </c>
      <c r="AA90" t="b">
        <f t="shared" si="18"/>
        <v>1</v>
      </c>
      <c r="AB90" t="b">
        <f t="shared" si="19"/>
        <v>1</v>
      </c>
      <c r="AC90" t="b">
        <f t="shared" si="20"/>
        <v>0</v>
      </c>
      <c r="AD90" t="b">
        <f t="shared" si="21"/>
        <v>0</v>
      </c>
      <c r="AE90" t="b">
        <f t="shared" si="22"/>
        <v>0</v>
      </c>
      <c r="AF90" t="b">
        <f t="shared" si="23"/>
        <v>0</v>
      </c>
      <c r="AG90" t="b">
        <f t="shared" si="24"/>
        <v>0</v>
      </c>
      <c r="AH90" t="b">
        <f t="shared" si="25"/>
        <v>0</v>
      </c>
    </row>
    <row r="91" spans="1:34" x14ac:dyDescent="0.2">
      <c r="A91" t="s">
        <v>208</v>
      </c>
      <c r="B91" t="s">
        <v>206</v>
      </c>
      <c r="C91" t="s">
        <v>206</v>
      </c>
      <c r="D91">
        <v>2</v>
      </c>
      <c r="E91">
        <v>0</v>
      </c>
      <c r="F91">
        <v>2</v>
      </c>
      <c r="G91">
        <v>2</v>
      </c>
      <c r="H91">
        <v>2</v>
      </c>
      <c r="I91">
        <v>2</v>
      </c>
      <c r="J91">
        <v>2</v>
      </c>
      <c r="K91">
        <v>2</v>
      </c>
      <c r="L91">
        <v>1</v>
      </c>
      <c r="M91">
        <v>2</v>
      </c>
      <c r="N91">
        <v>2</v>
      </c>
      <c r="O91">
        <v>2</v>
      </c>
      <c r="P91">
        <v>2</v>
      </c>
      <c r="Q91">
        <v>11</v>
      </c>
      <c r="R91">
        <v>1</v>
      </c>
      <c r="S91">
        <v>1</v>
      </c>
      <c r="T91">
        <v>0</v>
      </c>
      <c r="V91" t="b">
        <f t="shared" si="13"/>
        <v>1</v>
      </c>
      <c r="W91" t="b">
        <f t="shared" si="14"/>
        <v>1</v>
      </c>
      <c r="X91" t="b">
        <f t="shared" si="15"/>
        <v>1</v>
      </c>
      <c r="Y91" t="b">
        <f t="shared" si="16"/>
        <v>1</v>
      </c>
      <c r="Z91" t="b">
        <f t="shared" si="17"/>
        <v>1</v>
      </c>
      <c r="AA91" t="b">
        <f t="shared" si="18"/>
        <v>1</v>
      </c>
      <c r="AB91" t="b">
        <f t="shared" si="19"/>
        <v>1</v>
      </c>
      <c r="AC91" t="b">
        <f t="shared" si="20"/>
        <v>1</v>
      </c>
      <c r="AD91" t="b">
        <f t="shared" si="21"/>
        <v>1</v>
      </c>
      <c r="AE91" t="b">
        <f t="shared" si="22"/>
        <v>1</v>
      </c>
      <c r="AF91" t="b">
        <f t="shared" si="23"/>
        <v>1</v>
      </c>
      <c r="AG91" t="b">
        <f t="shared" si="24"/>
        <v>0</v>
      </c>
      <c r="AH91" t="b">
        <f t="shared" si="25"/>
        <v>0</v>
      </c>
    </row>
    <row r="92" spans="1:34" x14ac:dyDescent="0.2">
      <c r="V92">
        <f t="shared" ref="V92:AC92" si="26">COUNTIF(V2:V91,TRUE)</f>
        <v>85</v>
      </c>
      <c r="W92">
        <f t="shared" si="26"/>
        <v>76</v>
      </c>
      <c r="X92">
        <f t="shared" si="26"/>
        <v>63</v>
      </c>
      <c r="Y92">
        <f t="shared" si="26"/>
        <v>55</v>
      </c>
      <c r="Z92">
        <f t="shared" si="26"/>
        <v>47</v>
      </c>
      <c r="AA92">
        <f t="shared" si="26"/>
        <v>39</v>
      </c>
      <c r="AB92">
        <f t="shared" si="26"/>
        <v>29</v>
      </c>
      <c r="AC92">
        <f t="shared" si="26"/>
        <v>20</v>
      </c>
      <c r="AD92">
        <f t="shared" ref="AD92:AH92" si="27">COUNTIF(AD2:AD91,TRUE)</f>
        <v>15</v>
      </c>
      <c r="AE92">
        <f t="shared" si="27"/>
        <v>7</v>
      </c>
      <c r="AF92">
        <f t="shared" si="27"/>
        <v>4</v>
      </c>
      <c r="AG92">
        <f t="shared" si="27"/>
        <v>0</v>
      </c>
      <c r="AH92">
        <f t="shared" si="27"/>
        <v>0</v>
      </c>
    </row>
    <row r="93" spans="1:34" x14ac:dyDescent="0.2">
      <c r="V93" s="7">
        <f>V92/90</f>
        <v>0.94444444444444442</v>
      </c>
      <c r="W93" s="7">
        <f t="shared" ref="W93:AC93" si="28">W92/90</f>
        <v>0.84444444444444444</v>
      </c>
      <c r="X93" s="7">
        <f t="shared" si="28"/>
        <v>0.7</v>
      </c>
      <c r="Y93" s="7">
        <f t="shared" si="28"/>
        <v>0.61111111111111116</v>
      </c>
      <c r="Z93" s="7">
        <f t="shared" si="28"/>
        <v>0.52222222222222225</v>
      </c>
      <c r="AA93" s="7">
        <f t="shared" si="28"/>
        <v>0.43333333333333335</v>
      </c>
      <c r="AB93" s="7">
        <f t="shared" si="28"/>
        <v>0.32222222222222224</v>
      </c>
      <c r="AC93" s="7">
        <f t="shared" si="28"/>
        <v>0.22222222222222221</v>
      </c>
      <c r="AD93" s="7">
        <f t="shared" ref="AD93" si="29">AD92/90</f>
        <v>0.16666666666666666</v>
      </c>
      <c r="AE93" s="7">
        <f t="shared" ref="AE93" si="30">AE92/90</f>
        <v>7.7777777777777779E-2</v>
      </c>
      <c r="AF93" s="7">
        <f t="shared" ref="AF93" si="31">AF92/90</f>
        <v>4.4444444444444446E-2</v>
      </c>
      <c r="AG93" s="7">
        <f t="shared" ref="AG93" si="32">AG92/90</f>
        <v>0</v>
      </c>
      <c r="AH93" s="7">
        <f t="shared" ref="AH93" si="33">AH92/90</f>
        <v>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H107"/>
  <sheetViews>
    <sheetView zoomScale="85" zoomScaleNormal="85" workbookViewId="0">
      <selection activeCell="F18" sqref="F18"/>
    </sheetView>
  </sheetViews>
  <sheetFormatPr defaultColWidth="9" defaultRowHeight="14.25" x14ac:dyDescent="0.2"/>
  <sheetData>
    <row r="1" spans="1:34" x14ac:dyDescent="0.2">
      <c r="A1" s="1" t="s">
        <v>1</v>
      </c>
      <c r="B1" s="1" t="s">
        <v>2</v>
      </c>
      <c r="C1" s="1" t="s">
        <v>3</v>
      </c>
      <c r="D1" s="1" t="s">
        <v>400</v>
      </c>
      <c r="E1" s="2" t="s">
        <v>401</v>
      </c>
      <c r="F1" s="2" t="s">
        <v>402</v>
      </c>
      <c r="G1" s="2" t="s">
        <v>403</v>
      </c>
      <c r="H1" s="2" t="s">
        <v>404</v>
      </c>
      <c r="I1" s="2" t="s">
        <v>405</v>
      </c>
      <c r="J1" s="2" t="s">
        <v>406</v>
      </c>
      <c r="K1" s="3" t="s">
        <v>407</v>
      </c>
      <c r="L1" s="2" t="s">
        <v>408</v>
      </c>
      <c r="M1" s="2" t="s">
        <v>409</v>
      </c>
      <c r="N1" s="2" t="s">
        <v>410</v>
      </c>
      <c r="O1" s="2" t="s">
        <v>411</v>
      </c>
      <c r="P1" s="2" t="s">
        <v>412</v>
      </c>
      <c r="Q1" t="s">
        <v>17</v>
      </c>
      <c r="R1" t="s">
        <v>18</v>
      </c>
      <c r="S1" s="4" t="s">
        <v>19</v>
      </c>
      <c r="T1" s="5" t="s">
        <v>20</v>
      </c>
      <c r="U1" s="2"/>
      <c r="V1" s="6" t="s">
        <v>22</v>
      </c>
      <c r="W1" s="6" t="s">
        <v>23</v>
      </c>
      <c r="X1" s="6" t="s">
        <v>24</v>
      </c>
      <c r="Y1" s="6" t="s">
        <v>25</v>
      </c>
      <c r="Z1" s="6" t="s">
        <v>26</v>
      </c>
      <c r="AA1" s="6" t="s">
        <v>27</v>
      </c>
      <c r="AB1" s="6" t="s">
        <v>28</v>
      </c>
      <c r="AC1" s="6" t="s">
        <v>29</v>
      </c>
      <c r="AD1" s="6" t="s">
        <v>30</v>
      </c>
      <c r="AE1" s="6" t="s">
        <v>31</v>
      </c>
      <c r="AF1" s="6" t="s">
        <v>32</v>
      </c>
      <c r="AG1" s="6" t="s">
        <v>33</v>
      </c>
      <c r="AH1" s="6" t="s">
        <v>34</v>
      </c>
    </row>
    <row r="2" spans="1:34" x14ac:dyDescent="0.2">
      <c r="A2" t="s">
        <v>209</v>
      </c>
      <c r="B2" t="s">
        <v>101</v>
      </c>
      <c r="C2" t="s">
        <v>101</v>
      </c>
      <c r="D2">
        <v>2</v>
      </c>
      <c r="E2">
        <v>0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1</v>
      </c>
      <c r="M2">
        <v>2</v>
      </c>
      <c r="N2">
        <v>2</v>
      </c>
      <c r="O2">
        <v>2</v>
      </c>
      <c r="P2">
        <v>2</v>
      </c>
      <c r="Q2">
        <v>11</v>
      </c>
      <c r="R2">
        <v>1</v>
      </c>
      <c r="S2">
        <v>1</v>
      </c>
      <c r="T2">
        <v>0</v>
      </c>
      <c r="V2" t="b">
        <f>Q2&gt;=1</f>
        <v>1</v>
      </c>
      <c r="W2" t="b">
        <f>Q2&gt;=2</f>
        <v>1</v>
      </c>
      <c r="X2" t="b">
        <f>Q2&gt;=3</f>
        <v>1</v>
      </c>
      <c r="Y2" t="b">
        <f>Q2&gt;=4</f>
        <v>1</v>
      </c>
      <c r="Z2" t="b">
        <f>Q2&gt;=5</f>
        <v>1</v>
      </c>
      <c r="AA2" t="b">
        <f>Q2&gt;=6</f>
        <v>1</v>
      </c>
      <c r="AB2" t="b">
        <f>Q2&gt;=7</f>
        <v>1</v>
      </c>
      <c r="AC2" t="b">
        <f>Q2&gt;=8</f>
        <v>1</v>
      </c>
      <c r="AD2" t="b">
        <f>Q2&gt;=9</f>
        <v>1</v>
      </c>
      <c r="AE2" t="b">
        <f>Q2&gt;=10</f>
        <v>1</v>
      </c>
      <c r="AF2" t="b">
        <f>Q2&gt;=11</f>
        <v>1</v>
      </c>
      <c r="AG2" t="b">
        <f>Q2&gt;=12</f>
        <v>0</v>
      </c>
      <c r="AH2" t="b">
        <f>Q2&gt;=13</f>
        <v>0</v>
      </c>
    </row>
    <row r="3" spans="1:34" x14ac:dyDescent="0.2">
      <c r="A3" t="s">
        <v>210</v>
      </c>
      <c r="B3" t="s">
        <v>101</v>
      </c>
      <c r="C3" t="s">
        <v>101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1</v>
      </c>
      <c r="M3">
        <v>2</v>
      </c>
      <c r="N3">
        <v>2</v>
      </c>
      <c r="O3">
        <v>2</v>
      </c>
      <c r="P3">
        <v>2</v>
      </c>
      <c r="Q3">
        <v>12</v>
      </c>
      <c r="R3">
        <v>1</v>
      </c>
      <c r="S3">
        <v>0</v>
      </c>
      <c r="T3">
        <v>0</v>
      </c>
      <c r="V3" t="b">
        <f t="shared" ref="V3:V66" si="0">Q3&gt;=1</f>
        <v>1</v>
      </c>
      <c r="W3" t="b">
        <f t="shared" ref="W3:W66" si="1">Q3&gt;=2</f>
        <v>1</v>
      </c>
      <c r="X3" t="b">
        <f t="shared" ref="X3:X66" si="2">Q3&gt;=3</f>
        <v>1</v>
      </c>
      <c r="Y3" t="b">
        <f t="shared" ref="Y3:Y66" si="3">Q3&gt;=4</f>
        <v>1</v>
      </c>
      <c r="Z3" t="b">
        <f t="shared" ref="Z3:Z66" si="4">Q3&gt;=5</f>
        <v>1</v>
      </c>
      <c r="AA3" t="b">
        <f t="shared" ref="AA3:AA66" si="5">Q3&gt;=6</f>
        <v>1</v>
      </c>
      <c r="AB3" t="b">
        <f t="shared" ref="AB3:AB66" si="6">Q3&gt;=7</f>
        <v>1</v>
      </c>
      <c r="AC3" t="b">
        <f t="shared" ref="AC3:AC66" si="7">Q3&gt;=8</f>
        <v>1</v>
      </c>
      <c r="AD3" t="b">
        <f t="shared" ref="AD3:AD66" si="8">Q3&gt;=9</f>
        <v>1</v>
      </c>
      <c r="AE3" t="b">
        <f t="shared" ref="AE3:AE66" si="9">Q3&gt;=10</f>
        <v>1</v>
      </c>
      <c r="AF3" t="b">
        <f t="shared" ref="AF3:AF66" si="10">Q3&gt;=11</f>
        <v>1</v>
      </c>
      <c r="AG3" t="b">
        <f t="shared" ref="AG3:AG66" si="11">Q3&gt;=12</f>
        <v>1</v>
      </c>
      <c r="AH3" t="b">
        <f t="shared" ref="AH3:AH66" si="12">Q3&gt;=13</f>
        <v>0</v>
      </c>
    </row>
    <row r="4" spans="1:34" x14ac:dyDescent="0.2">
      <c r="A4" t="s">
        <v>211</v>
      </c>
      <c r="B4" t="s">
        <v>101</v>
      </c>
      <c r="C4" t="s">
        <v>101</v>
      </c>
      <c r="D4">
        <v>0</v>
      </c>
      <c r="E4">
        <v>1</v>
      </c>
      <c r="F4">
        <v>2</v>
      </c>
      <c r="G4">
        <v>2</v>
      </c>
      <c r="H4">
        <v>1</v>
      </c>
      <c r="I4">
        <v>0</v>
      </c>
      <c r="J4">
        <v>2</v>
      </c>
      <c r="K4">
        <v>2</v>
      </c>
      <c r="L4">
        <v>2</v>
      </c>
      <c r="M4">
        <v>0</v>
      </c>
      <c r="N4">
        <v>0</v>
      </c>
      <c r="O4">
        <v>2</v>
      </c>
      <c r="P4">
        <v>0</v>
      </c>
      <c r="Q4">
        <v>6</v>
      </c>
      <c r="R4">
        <v>2</v>
      </c>
      <c r="S4">
        <v>5</v>
      </c>
      <c r="T4">
        <v>0</v>
      </c>
      <c r="V4" t="b">
        <f t="shared" si="0"/>
        <v>1</v>
      </c>
      <c r="W4" t="b">
        <f t="shared" si="1"/>
        <v>1</v>
      </c>
      <c r="X4" t="b">
        <f t="shared" si="2"/>
        <v>1</v>
      </c>
      <c r="Y4" t="b">
        <f t="shared" si="3"/>
        <v>1</v>
      </c>
      <c r="Z4" t="b">
        <f t="shared" si="4"/>
        <v>1</v>
      </c>
      <c r="AA4" t="b">
        <f t="shared" si="5"/>
        <v>1</v>
      </c>
      <c r="AB4" t="b">
        <f t="shared" si="6"/>
        <v>0</v>
      </c>
      <c r="AC4" t="b">
        <f t="shared" si="7"/>
        <v>0</v>
      </c>
      <c r="AD4" t="b">
        <f t="shared" si="8"/>
        <v>0</v>
      </c>
      <c r="AE4" t="b">
        <f t="shared" si="9"/>
        <v>0</v>
      </c>
      <c r="AF4" t="b">
        <f t="shared" si="10"/>
        <v>0</v>
      </c>
      <c r="AG4" t="b">
        <f t="shared" si="11"/>
        <v>0</v>
      </c>
      <c r="AH4" t="b">
        <f t="shared" si="12"/>
        <v>0</v>
      </c>
    </row>
    <row r="5" spans="1:34" x14ac:dyDescent="0.2">
      <c r="A5" t="s">
        <v>212</v>
      </c>
      <c r="B5" t="s">
        <v>101</v>
      </c>
      <c r="C5" t="s">
        <v>101</v>
      </c>
      <c r="D5">
        <v>0</v>
      </c>
      <c r="E5">
        <v>1</v>
      </c>
      <c r="F5">
        <v>2</v>
      </c>
      <c r="G5">
        <v>2</v>
      </c>
      <c r="H5">
        <v>0</v>
      </c>
      <c r="I5">
        <v>0</v>
      </c>
      <c r="J5">
        <v>1</v>
      </c>
      <c r="K5">
        <v>2</v>
      </c>
      <c r="M5">
        <v>0</v>
      </c>
      <c r="N5">
        <v>0</v>
      </c>
      <c r="O5">
        <v>2</v>
      </c>
      <c r="P5">
        <v>0</v>
      </c>
      <c r="Q5">
        <v>4</v>
      </c>
      <c r="R5">
        <v>2</v>
      </c>
      <c r="S5">
        <v>6</v>
      </c>
      <c r="T5">
        <v>1</v>
      </c>
      <c r="V5" t="b">
        <f t="shared" si="0"/>
        <v>1</v>
      </c>
      <c r="W5" t="b">
        <f t="shared" si="1"/>
        <v>1</v>
      </c>
      <c r="X5" t="b">
        <f t="shared" si="2"/>
        <v>1</v>
      </c>
      <c r="Y5" t="b">
        <f t="shared" si="3"/>
        <v>1</v>
      </c>
      <c r="Z5" t="b">
        <f t="shared" si="4"/>
        <v>0</v>
      </c>
      <c r="AA5" t="b">
        <f t="shared" si="5"/>
        <v>0</v>
      </c>
      <c r="AB5" t="b">
        <f t="shared" si="6"/>
        <v>0</v>
      </c>
      <c r="AC5" t="b">
        <f t="shared" si="7"/>
        <v>0</v>
      </c>
      <c r="AD5" t="b">
        <f t="shared" si="8"/>
        <v>0</v>
      </c>
      <c r="AE5" t="b">
        <f t="shared" si="9"/>
        <v>0</v>
      </c>
      <c r="AF5" t="b">
        <f t="shared" si="10"/>
        <v>0</v>
      </c>
      <c r="AG5" t="b">
        <f t="shared" si="11"/>
        <v>0</v>
      </c>
      <c r="AH5" t="b">
        <f t="shared" si="12"/>
        <v>0</v>
      </c>
    </row>
    <row r="6" spans="1:34" x14ac:dyDescent="0.2">
      <c r="A6" t="s">
        <v>38</v>
      </c>
      <c r="B6" t="s">
        <v>39</v>
      </c>
      <c r="C6" t="s">
        <v>39</v>
      </c>
      <c r="D6">
        <v>1</v>
      </c>
      <c r="E6">
        <v>0</v>
      </c>
      <c r="F6">
        <v>1</v>
      </c>
      <c r="G6">
        <v>0</v>
      </c>
      <c r="H6">
        <v>2</v>
      </c>
      <c r="I6">
        <v>0</v>
      </c>
      <c r="J6">
        <v>2</v>
      </c>
      <c r="K6">
        <v>0</v>
      </c>
      <c r="L6">
        <v>2</v>
      </c>
      <c r="M6">
        <v>1</v>
      </c>
      <c r="P6">
        <v>0</v>
      </c>
      <c r="Q6">
        <v>3</v>
      </c>
      <c r="R6">
        <v>3</v>
      </c>
      <c r="S6">
        <v>5</v>
      </c>
      <c r="T6">
        <v>2</v>
      </c>
      <c r="V6" t="b">
        <f t="shared" si="0"/>
        <v>1</v>
      </c>
      <c r="W6" t="b">
        <f t="shared" si="1"/>
        <v>1</v>
      </c>
      <c r="X6" t="b">
        <f t="shared" si="2"/>
        <v>1</v>
      </c>
      <c r="Y6" t="b">
        <f t="shared" si="3"/>
        <v>0</v>
      </c>
      <c r="Z6" t="b">
        <f t="shared" si="4"/>
        <v>0</v>
      </c>
      <c r="AA6" t="b">
        <f t="shared" si="5"/>
        <v>0</v>
      </c>
      <c r="AB6" t="b">
        <f t="shared" si="6"/>
        <v>0</v>
      </c>
      <c r="AC6" t="b">
        <f t="shared" si="7"/>
        <v>0</v>
      </c>
      <c r="AD6" t="b">
        <f t="shared" si="8"/>
        <v>0</v>
      </c>
      <c r="AE6" t="b">
        <f t="shared" si="9"/>
        <v>0</v>
      </c>
      <c r="AF6" t="b">
        <f t="shared" si="10"/>
        <v>0</v>
      </c>
      <c r="AG6" t="b">
        <f t="shared" si="11"/>
        <v>0</v>
      </c>
      <c r="AH6" t="b">
        <f t="shared" si="12"/>
        <v>0</v>
      </c>
    </row>
    <row r="7" spans="1:34" x14ac:dyDescent="0.2">
      <c r="A7" t="s">
        <v>213</v>
      </c>
      <c r="B7" t="s">
        <v>214</v>
      </c>
      <c r="C7" t="s">
        <v>46</v>
      </c>
      <c r="D7">
        <v>1</v>
      </c>
      <c r="E7">
        <v>1</v>
      </c>
      <c r="F7">
        <v>2</v>
      </c>
      <c r="G7">
        <v>2</v>
      </c>
      <c r="H7">
        <v>1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0</v>
      </c>
      <c r="Q7">
        <v>2</v>
      </c>
      <c r="R7">
        <v>8</v>
      </c>
      <c r="S7">
        <v>3</v>
      </c>
      <c r="T7">
        <v>0</v>
      </c>
      <c r="V7" t="b">
        <f t="shared" si="0"/>
        <v>1</v>
      </c>
      <c r="W7" t="b">
        <f t="shared" si="1"/>
        <v>1</v>
      </c>
      <c r="X7" t="b">
        <f t="shared" si="2"/>
        <v>0</v>
      </c>
      <c r="Y7" t="b">
        <f t="shared" si="3"/>
        <v>0</v>
      </c>
      <c r="Z7" t="b">
        <f t="shared" si="4"/>
        <v>0</v>
      </c>
      <c r="AA7" t="b">
        <f t="shared" si="5"/>
        <v>0</v>
      </c>
      <c r="AB7" t="b">
        <f t="shared" si="6"/>
        <v>0</v>
      </c>
      <c r="AC7" t="b">
        <f t="shared" si="7"/>
        <v>0</v>
      </c>
      <c r="AD7" t="b">
        <f t="shared" si="8"/>
        <v>0</v>
      </c>
      <c r="AE7" t="b">
        <f t="shared" si="9"/>
        <v>0</v>
      </c>
      <c r="AF7" t="b">
        <f t="shared" si="10"/>
        <v>0</v>
      </c>
      <c r="AG7" t="b">
        <f t="shared" si="11"/>
        <v>0</v>
      </c>
      <c r="AH7" t="b">
        <f t="shared" si="12"/>
        <v>0</v>
      </c>
    </row>
    <row r="8" spans="1:34" x14ac:dyDescent="0.2">
      <c r="A8" t="s">
        <v>215</v>
      </c>
      <c r="B8" t="s">
        <v>216</v>
      </c>
      <c r="C8" t="s">
        <v>216</v>
      </c>
      <c r="E8">
        <v>1</v>
      </c>
      <c r="F8">
        <v>2</v>
      </c>
      <c r="G8">
        <v>1</v>
      </c>
      <c r="H8">
        <v>2</v>
      </c>
      <c r="I8">
        <v>0</v>
      </c>
      <c r="J8">
        <v>1</v>
      </c>
      <c r="K8">
        <v>2</v>
      </c>
      <c r="M8">
        <v>0</v>
      </c>
      <c r="N8">
        <v>2</v>
      </c>
      <c r="O8">
        <v>2</v>
      </c>
      <c r="P8">
        <v>0</v>
      </c>
      <c r="Q8">
        <v>5</v>
      </c>
      <c r="R8">
        <v>3</v>
      </c>
      <c r="S8">
        <v>3</v>
      </c>
      <c r="T8">
        <v>2</v>
      </c>
      <c r="V8" t="b">
        <f t="shared" si="0"/>
        <v>1</v>
      </c>
      <c r="W8" t="b">
        <f t="shared" si="1"/>
        <v>1</v>
      </c>
      <c r="X8" t="b">
        <f t="shared" si="2"/>
        <v>1</v>
      </c>
      <c r="Y8" t="b">
        <f t="shared" si="3"/>
        <v>1</v>
      </c>
      <c r="Z8" t="b">
        <f t="shared" si="4"/>
        <v>1</v>
      </c>
      <c r="AA8" t="b">
        <f t="shared" si="5"/>
        <v>0</v>
      </c>
      <c r="AB8" t="b">
        <f t="shared" si="6"/>
        <v>0</v>
      </c>
      <c r="AC8" t="b">
        <f t="shared" si="7"/>
        <v>0</v>
      </c>
      <c r="AD8" t="b">
        <f t="shared" si="8"/>
        <v>0</v>
      </c>
      <c r="AE8" t="b">
        <f t="shared" si="9"/>
        <v>0</v>
      </c>
      <c r="AF8" t="b">
        <f t="shared" si="10"/>
        <v>0</v>
      </c>
      <c r="AG8" t="b">
        <f t="shared" si="11"/>
        <v>0</v>
      </c>
      <c r="AH8" t="b">
        <f t="shared" si="12"/>
        <v>0</v>
      </c>
    </row>
    <row r="9" spans="1:34" x14ac:dyDescent="0.2">
      <c r="A9" t="s">
        <v>101</v>
      </c>
      <c r="B9" t="s">
        <v>109</v>
      </c>
      <c r="C9" t="s">
        <v>110</v>
      </c>
      <c r="D9">
        <v>0</v>
      </c>
      <c r="E9">
        <v>1</v>
      </c>
      <c r="F9">
        <v>2</v>
      </c>
      <c r="G9">
        <v>2</v>
      </c>
      <c r="H9">
        <v>0</v>
      </c>
      <c r="I9">
        <v>2</v>
      </c>
      <c r="J9">
        <v>2</v>
      </c>
      <c r="K9">
        <v>2</v>
      </c>
      <c r="L9">
        <v>1</v>
      </c>
      <c r="M9">
        <v>1</v>
      </c>
      <c r="O9">
        <v>2</v>
      </c>
      <c r="P9">
        <v>1</v>
      </c>
      <c r="Q9">
        <v>6</v>
      </c>
      <c r="R9">
        <v>4</v>
      </c>
      <c r="S9">
        <v>2</v>
      </c>
      <c r="T9">
        <v>1</v>
      </c>
      <c r="V9" t="b">
        <f t="shared" si="0"/>
        <v>1</v>
      </c>
      <c r="W9" t="b">
        <f t="shared" si="1"/>
        <v>1</v>
      </c>
      <c r="X9" t="b">
        <f t="shared" si="2"/>
        <v>1</v>
      </c>
      <c r="Y9" t="b">
        <f t="shared" si="3"/>
        <v>1</v>
      </c>
      <c r="Z9" t="b">
        <f t="shared" si="4"/>
        <v>1</v>
      </c>
      <c r="AA9" t="b">
        <f t="shared" si="5"/>
        <v>1</v>
      </c>
      <c r="AB9" t="b">
        <f t="shared" si="6"/>
        <v>0</v>
      </c>
      <c r="AC9" t="b">
        <f t="shared" si="7"/>
        <v>0</v>
      </c>
      <c r="AD9" t="b">
        <f t="shared" si="8"/>
        <v>0</v>
      </c>
      <c r="AE9" t="b">
        <f t="shared" si="9"/>
        <v>0</v>
      </c>
      <c r="AF9" t="b">
        <f t="shared" si="10"/>
        <v>0</v>
      </c>
      <c r="AG9" t="b">
        <f t="shared" si="11"/>
        <v>0</v>
      </c>
      <c r="AH9" t="b">
        <f t="shared" si="12"/>
        <v>0</v>
      </c>
    </row>
    <row r="10" spans="1:34" x14ac:dyDescent="0.2">
      <c r="A10" t="s">
        <v>217</v>
      </c>
      <c r="B10" t="s">
        <v>109</v>
      </c>
      <c r="C10" t="s">
        <v>110</v>
      </c>
      <c r="D10">
        <v>0</v>
      </c>
      <c r="E10">
        <v>2</v>
      </c>
      <c r="F10">
        <v>2</v>
      </c>
      <c r="G10">
        <v>2</v>
      </c>
      <c r="H10">
        <v>0</v>
      </c>
      <c r="I10">
        <v>0</v>
      </c>
      <c r="J10">
        <v>2</v>
      </c>
      <c r="K10">
        <v>1</v>
      </c>
      <c r="L10">
        <v>1</v>
      </c>
      <c r="M10">
        <v>2</v>
      </c>
      <c r="O10">
        <v>2</v>
      </c>
      <c r="P10">
        <v>0</v>
      </c>
      <c r="Q10">
        <v>6</v>
      </c>
      <c r="R10">
        <v>2</v>
      </c>
      <c r="S10">
        <v>4</v>
      </c>
      <c r="T10">
        <v>1</v>
      </c>
      <c r="V10" t="b">
        <f t="shared" si="0"/>
        <v>1</v>
      </c>
      <c r="W10" t="b">
        <f t="shared" si="1"/>
        <v>1</v>
      </c>
      <c r="X10" t="b">
        <f t="shared" si="2"/>
        <v>1</v>
      </c>
      <c r="Y10" t="b">
        <f t="shared" si="3"/>
        <v>1</v>
      </c>
      <c r="Z10" t="b">
        <f t="shared" si="4"/>
        <v>1</v>
      </c>
      <c r="AA10" t="b">
        <f t="shared" si="5"/>
        <v>1</v>
      </c>
      <c r="AB10" t="b">
        <f t="shared" si="6"/>
        <v>0</v>
      </c>
      <c r="AC10" t="b">
        <f t="shared" si="7"/>
        <v>0</v>
      </c>
      <c r="AD10" t="b">
        <f t="shared" si="8"/>
        <v>0</v>
      </c>
      <c r="AE10" t="b">
        <f t="shared" si="9"/>
        <v>0</v>
      </c>
      <c r="AF10" t="b">
        <f t="shared" si="10"/>
        <v>0</v>
      </c>
      <c r="AG10" t="b">
        <f t="shared" si="11"/>
        <v>0</v>
      </c>
      <c r="AH10" t="b">
        <f t="shared" si="12"/>
        <v>0</v>
      </c>
    </row>
    <row r="11" spans="1:34" x14ac:dyDescent="0.2">
      <c r="A11" t="s">
        <v>218</v>
      </c>
      <c r="B11" t="s">
        <v>109</v>
      </c>
      <c r="C11" t="s">
        <v>110</v>
      </c>
      <c r="D11">
        <v>1</v>
      </c>
      <c r="E11">
        <v>2</v>
      </c>
      <c r="F11">
        <v>2</v>
      </c>
      <c r="G11">
        <v>2</v>
      </c>
      <c r="H11">
        <v>0</v>
      </c>
      <c r="I11">
        <v>1</v>
      </c>
      <c r="J11">
        <v>2</v>
      </c>
      <c r="K11">
        <v>2</v>
      </c>
      <c r="L11">
        <v>1</v>
      </c>
      <c r="M11">
        <v>2</v>
      </c>
      <c r="O11">
        <v>2</v>
      </c>
      <c r="P11">
        <v>1</v>
      </c>
      <c r="Q11">
        <v>7</v>
      </c>
      <c r="R11">
        <v>4</v>
      </c>
      <c r="S11">
        <v>1</v>
      </c>
      <c r="T11">
        <v>1</v>
      </c>
      <c r="V11" t="b">
        <f t="shared" si="0"/>
        <v>1</v>
      </c>
      <c r="W11" t="b">
        <f t="shared" si="1"/>
        <v>1</v>
      </c>
      <c r="X11" t="b">
        <f t="shared" si="2"/>
        <v>1</v>
      </c>
      <c r="Y11" t="b">
        <f t="shared" si="3"/>
        <v>1</v>
      </c>
      <c r="Z11" t="b">
        <f t="shared" si="4"/>
        <v>1</v>
      </c>
      <c r="AA11" t="b">
        <f t="shared" si="5"/>
        <v>1</v>
      </c>
      <c r="AB11" t="b">
        <f t="shared" si="6"/>
        <v>1</v>
      </c>
      <c r="AC11" t="b">
        <f t="shared" si="7"/>
        <v>0</v>
      </c>
      <c r="AD11" t="b">
        <f t="shared" si="8"/>
        <v>0</v>
      </c>
      <c r="AE11" t="b">
        <f t="shared" si="9"/>
        <v>0</v>
      </c>
      <c r="AF11" t="b">
        <f t="shared" si="10"/>
        <v>0</v>
      </c>
      <c r="AG11" t="b">
        <f t="shared" si="11"/>
        <v>0</v>
      </c>
      <c r="AH11" t="b">
        <f t="shared" si="12"/>
        <v>0</v>
      </c>
    </row>
    <row r="12" spans="1:34" x14ac:dyDescent="0.2">
      <c r="A12" t="s">
        <v>158</v>
      </c>
      <c r="B12" t="s">
        <v>109</v>
      </c>
      <c r="C12" t="s">
        <v>110</v>
      </c>
      <c r="D12">
        <v>1</v>
      </c>
      <c r="E12">
        <v>0</v>
      </c>
      <c r="F12">
        <v>1</v>
      </c>
      <c r="G12">
        <v>2</v>
      </c>
      <c r="H12">
        <v>1</v>
      </c>
      <c r="I12">
        <v>2</v>
      </c>
      <c r="J12">
        <v>2</v>
      </c>
      <c r="K12">
        <v>1</v>
      </c>
      <c r="L12">
        <v>1</v>
      </c>
      <c r="M12">
        <v>1</v>
      </c>
      <c r="O12">
        <v>2</v>
      </c>
      <c r="P12">
        <v>1</v>
      </c>
      <c r="Q12">
        <v>4</v>
      </c>
      <c r="R12">
        <v>7</v>
      </c>
      <c r="S12">
        <v>1</v>
      </c>
      <c r="T12">
        <v>1</v>
      </c>
      <c r="V12" t="b">
        <f t="shared" si="0"/>
        <v>1</v>
      </c>
      <c r="W12" t="b">
        <f t="shared" si="1"/>
        <v>1</v>
      </c>
      <c r="X12" t="b">
        <f t="shared" si="2"/>
        <v>1</v>
      </c>
      <c r="Y12" t="b">
        <f t="shared" si="3"/>
        <v>1</v>
      </c>
      <c r="Z12" t="b">
        <f t="shared" si="4"/>
        <v>0</v>
      </c>
      <c r="AA12" t="b">
        <f t="shared" si="5"/>
        <v>0</v>
      </c>
      <c r="AB12" t="b">
        <f t="shared" si="6"/>
        <v>0</v>
      </c>
      <c r="AC12" t="b">
        <f t="shared" si="7"/>
        <v>0</v>
      </c>
      <c r="AD12" t="b">
        <f t="shared" si="8"/>
        <v>0</v>
      </c>
      <c r="AE12" t="b">
        <f t="shared" si="9"/>
        <v>0</v>
      </c>
      <c r="AF12" t="b">
        <f t="shared" si="10"/>
        <v>0</v>
      </c>
      <c r="AG12" t="b">
        <f t="shared" si="11"/>
        <v>0</v>
      </c>
      <c r="AH12" t="b">
        <f t="shared" si="12"/>
        <v>0</v>
      </c>
    </row>
    <row r="13" spans="1:34" x14ac:dyDescent="0.2">
      <c r="A13" t="s">
        <v>219</v>
      </c>
      <c r="B13" t="s">
        <v>109</v>
      </c>
      <c r="C13" t="s">
        <v>110</v>
      </c>
      <c r="D13">
        <v>0</v>
      </c>
      <c r="E13">
        <v>2</v>
      </c>
      <c r="F13">
        <v>1</v>
      </c>
      <c r="G13">
        <v>2</v>
      </c>
      <c r="H13">
        <v>0</v>
      </c>
      <c r="I13">
        <v>0</v>
      </c>
      <c r="J13">
        <v>1</v>
      </c>
      <c r="K13">
        <v>0</v>
      </c>
      <c r="L13">
        <v>2</v>
      </c>
      <c r="M13">
        <v>1</v>
      </c>
      <c r="O13">
        <v>2</v>
      </c>
      <c r="P13">
        <v>0</v>
      </c>
      <c r="Q13">
        <v>4</v>
      </c>
      <c r="R13">
        <v>3</v>
      </c>
      <c r="S13">
        <v>5</v>
      </c>
      <c r="T13">
        <v>1</v>
      </c>
      <c r="V13" t="b">
        <f t="shared" si="0"/>
        <v>1</v>
      </c>
      <c r="W13" t="b">
        <f t="shared" si="1"/>
        <v>1</v>
      </c>
      <c r="X13" t="b">
        <f t="shared" si="2"/>
        <v>1</v>
      </c>
      <c r="Y13" t="b">
        <f t="shared" si="3"/>
        <v>1</v>
      </c>
      <c r="Z13" t="b">
        <f t="shared" si="4"/>
        <v>0</v>
      </c>
      <c r="AA13" t="b">
        <f t="shared" si="5"/>
        <v>0</v>
      </c>
      <c r="AB13" t="b">
        <f t="shared" si="6"/>
        <v>0</v>
      </c>
      <c r="AC13" t="b">
        <f t="shared" si="7"/>
        <v>0</v>
      </c>
      <c r="AD13" t="b">
        <f t="shared" si="8"/>
        <v>0</v>
      </c>
      <c r="AE13" t="b">
        <f t="shared" si="9"/>
        <v>0</v>
      </c>
      <c r="AF13" t="b">
        <f t="shared" si="10"/>
        <v>0</v>
      </c>
      <c r="AG13" t="b">
        <f t="shared" si="11"/>
        <v>0</v>
      </c>
      <c r="AH13" t="b">
        <f t="shared" si="12"/>
        <v>0</v>
      </c>
    </row>
    <row r="14" spans="1:34" x14ac:dyDescent="0.2">
      <c r="A14" t="s">
        <v>220</v>
      </c>
      <c r="B14" t="s">
        <v>109</v>
      </c>
      <c r="C14" t="s">
        <v>110</v>
      </c>
      <c r="D14">
        <v>0</v>
      </c>
      <c r="E14">
        <v>1</v>
      </c>
      <c r="F14">
        <v>1</v>
      </c>
      <c r="G14">
        <v>0</v>
      </c>
      <c r="H14">
        <v>0</v>
      </c>
      <c r="I14">
        <v>0</v>
      </c>
      <c r="J14">
        <v>0</v>
      </c>
      <c r="K14">
        <v>0</v>
      </c>
      <c r="M14">
        <v>0</v>
      </c>
      <c r="O14">
        <v>1</v>
      </c>
      <c r="P14">
        <v>0</v>
      </c>
      <c r="Q14">
        <v>0</v>
      </c>
      <c r="R14">
        <v>3</v>
      </c>
      <c r="S14">
        <v>8</v>
      </c>
      <c r="T14">
        <v>2</v>
      </c>
      <c r="V14" t="b">
        <f t="shared" si="0"/>
        <v>0</v>
      </c>
      <c r="W14" t="b">
        <f t="shared" si="1"/>
        <v>0</v>
      </c>
      <c r="X14" t="b">
        <f t="shared" si="2"/>
        <v>0</v>
      </c>
      <c r="Y14" t="b">
        <f t="shared" si="3"/>
        <v>0</v>
      </c>
      <c r="Z14" t="b">
        <f t="shared" si="4"/>
        <v>0</v>
      </c>
      <c r="AA14" t="b">
        <f t="shared" si="5"/>
        <v>0</v>
      </c>
      <c r="AB14" t="b">
        <f t="shared" si="6"/>
        <v>0</v>
      </c>
      <c r="AC14" t="b">
        <f t="shared" si="7"/>
        <v>0</v>
      </c>
      <c r="AD14" t="b">
        <f t="shared" si="8"/>
        <v>0</v>
      </c>
      <c r="AE14" t="b">
        <f t="shared" si="9"/>
        <v>0</v>
      </c>
      <c r="AF14" t="b">
        <f t="shared" si="10"/>
        <v>0</v>
      </c>
      <c r="AG14" t="b">
        <f t="shared" si="11"/>
        <v>0</v>
      </c>
      <c r="AH14" t="b">
        <f t="shared" si="12"/>
        <v>0</v>
      </c>
    </row>
    <row r="15" spans="1:34" x14ac:dyDescent="0.2">
      <c r="A15" t="s">
        <v>195</v>
      </c>
      <c r="B15" t="s">
        <v>109</v>
      </c>
      <c r="C15" t="s">
        <v>110</v>
      </c>
      <c r="D15">
        <v>0</v>
      </c>
      <c r="E15">
        <v>2</v>
      </c>
      <c r="F15">
        <v>1</v>
      </c>
      <c r="G15">
        <v>0</v>
      </c>
      <c r="H15">
        <v>0</v>
      </c>
      <c r="I15">
        <v>1</v>
      </c>
      <c r="J15">
        <v>1</v>
      </c>
      <c r="K15">
        <v>0</v>
      </c>
      <c r="L15">
        <v>2</v>
      </c>
      <c r="M15">
        <v>0</v>
      </c>
      <c r="O15">
        <v>2</v>
      </c>
      <c r="P15">
        <v>0</v>
      </c>
      <c r="Q15">
        <v>3</v>
      </c>
      <c r="R15">
        <v>3</v>
      </c>
      <c r="S15">
        <v>6</v>
      </c>
      <c r="T15">
        <v>1</v>
      </c>
      <c r="V15" t="b">
        <f t="shared" si="0"/>
        <v>1</v>
      </c>
      <c r="W15" t="b">
        <f t="shared" si="1"/>
        <v>1</v>
      </c>
      <c r="X15" t="b">
        <f t="shared" si="2"/>
        <v>1</v>
      </c>
      <c r="Y15" t="b">
        <f t="shared" si="3"/>
        <v>0</v>
      </c>
      <c r="Z15" t="b">
        <f t="shared" si="4"/>
        <v>0</v>
      </c>
      <c r="AA15" t="b">
        <f t="shared" si="5"/>
        <v>0</v>
      </c>
      <c r="AB15" t="b">
        <f t="shared" si="6"/>
        <v>0</v>
      </c>
      <c r="AC15" t="b">
        <f t="shared" si="7"/>
        <v>0</v>
      </c>
      <c r="AD15" t="b">
        <f t="shared" si="8"/>
        <v>0</v>
      </c>
      <c r="AE15" t="b">
        <f t="shared" si="9"/>
        <v>0</v>
      </c>
      <c r="AF15" t="b">
        <f t="shared" si="10"/>
        <v>0</v>
      </c>
      <c r="AG15" t="b">
        <f t="shared" si="11"/>
        <v>0</v>
      </c>
      <c r="AH15" t="b">
        <f t="shared" si="12"/>
        <v>0</v>
      </c>
    </row>
    <row r="16" spans="1:34" x14ac:dyDescent="0.2">
      <c r="A16" t="s">
        <v>221</v>
      </c>
      <c r="B16" t="s">
        <v>118</v>
      </c>
      <c r="C16" t="s">
        <v>119</v>
      </c>
      <c r="D16">
        <v>0</v>
      </c>
      <c r="E16">
        <v>2</v>
      </c>
      <c r="F16">
        <v>2</v>
      </c>
      <c r="G16">
        <v>1</v>
      </c>
      <c r="H16">
        <v>0</v>
      </c>
      <c r="I16">
        <v>0</v>
      </c>
      <c r="J16">
        <v>2</v>
      </c>
      <c r="K16">
        <v>1</v>
      </c>
      <c r="L16">
        <v>0</v>
      </c>
      <c r="M16">
        <v>0</v>
      </c>
      <c r="N16">
        <v>1</v>
      </c>
      <c r="O16">
        <v>2</v>
      </c>
      <c r="P16">
        <v>0</v>
      </c>
      <c r="Q16">
        <v>4</v>
      </c>
      <c r="R16">
        <v>3</v>
      </c>
      <c r="S16">
        <v>6</v>
      </c>
      <c r="T16">
        <v>0</v>
      </c>
      <c r="V16" t="b">
        <f t="shared" si="0"/>
        <v>1</v>
      </c>
      <c r="W16" t="b">
        <f t="shared" si="1"/>
        <v>1</v>
      </c>
      <c r="X16" t="b">
        <f t="shared" si="2"/>
        <v>1</v>
      </c>
      <c r="Y16" t="b">
        <f t="shared" si="3"/>
        <v>1</v>
      </c>
      <c r="Z16" t="b">
        <f t="shared" si="4"/>
        <v>0</v>
      </c>
      <c r="AA16" t="b">
        <f t="shared" si="5"/>
        <v>0</v>
      </c>
      <c r="AB16" t="b">
        <f t="shared" si="6"/>
        <v>0</v>
      </c>
      <c r="AC16" t="b">
        <f t="shared" si="7"/>
        <v>0</v>
      </c>
      <c r="AD16" t="b">
        <f t="shared" si="8"/>
        <v>0</v>
      </c>
      <c r="AE16" t="b">
        <f t="shared" si="9"/>
        <v>0</v>
      </c>
      <c r="AF16" t="b">
        <f t="shared" si="10"/>
        <v>0</v>
      </c>
      <c r="AG16" t="b">
        <f t="shared" si="11"/>
        <v>0</v>
      </c>
      <c r="AH16" t="b">
        <f t="shared" si="12"/>
        <v>0</v>
      </c>
    </row>
    <row r="17" spans="1:34" x14ac:dyDescent="0.2">
      <c r="A17" t="s">
        <v>222</v>
      </c>
      <c r="B17" t="s">
        <v>118</v>
      </c>
      <c r="C17" t="s">
        <v>119</v>
      </c>
      <c r="D17">
        <v>0</v>
      </c>
      <c r="E17">
        <v>1</v>
      </c>
      <c r="F17">
        <v>1</v>
      </c>
      <c r="G17">
        <v>1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1</v>
      </c>
      <c r="O17">
        <v>2</v>
      </c>
      <c r="P17">
        <v>0</v>
      </c>
      <c r="Q17">
        <v>1</v>
      </c>
      <c r="R17">
        <v>6</v>
      </c>
      <c r="S17">
        <v>6</v>
      </c>
      <c r="T17">
        <v>0</v>
      </c>
      <c r="V17" t="b">
        <f t="shared" si="0"/>
        <v>1</v>
      </c>
      <c r="W17" t="b">
        <f t="shared" si="1"/>
        <v>0</v>
      </c>
      <c r="X17" t="b">
        <f t="shared" si="2"/>
        <v>0</v>
      </c>
      <c r="Y17" t="b">
        <f t="shared" si="3"/>
        <v>0</v>
      </c>
      <c r="Z17" t="b">
        <f t="shared" si="4"/>
        <v>0</v>
      </c>
      <c r="AA17" t="b">
        <f t="shared" si="5"/>
        <v>0</v>
      </c>
      <c r="AB17" t="b">
        <f t="shared" si="6"/>
        <v>0</v>
      </c>
      <c r="AC17" t="b">
        <f t="shared" si="7"/>
        <v>0</v>
      </c>
      <c r="AD17" t="b">
        <f t="shared" si="8"/>
        <v>0</v>
      </c>
      <c r="AE17" t="b">
        <f t="shared" si="9"/>
        <v>0</v>
      </c>
      <c r="AF17" t="b">
        <f t="shared" si="10"/>
        <v>0</v>
      </c>
      <c r="AG17" t="b">
        <f t="shared" si="11"/>
        <v>0</v>
      </c>
      <c r="AH17" t="b">
        <f t="shared" si="12"/>
        <v>0</v>
      </c>
    </row>
    <row r="18" spans="1:34" x14ac:dyDescent="0.2">
      <c r="A18" t="s">
        <v>223</v>
      </c>
      <c r="B18" t="s">
        <v>118</v>
      </c>
      <c r="C18" t="s">
        <v>119</v>
      </c>
      <c r="D18">
        <v>2</v>
      </c>
      <c r="E18">
        <v>0</v>
      </c>
      <c r="F18">
        <v>1</v>
      </c>
      <c r="G18">
        <v>2</v>
      </c>
      <c r="H18">
        <v>2</v>
      </c>
      <c r="I18">
        <v>2</v>
      </c>
      <c r="J18">
        <v>2</v>
      </c>
      <c r="K18">
        <v>2</v>
      </c>
      <c r="L18">
        <v>1</v>
      </c>
      <c r="M18">
        <v>1</v>
      </c>
      <c r="O18">
        <v>2</v>
      </c>
      <c r="P18">
        <v>1</v>
      </c>
      <c r="Q18">
        <v>7</v>
      </c>
      <c r="R18">
        <v>4</v>
      </c>
      <c r="S18">
        <v>1</v>
      </c>
      <c r="T18">
        <v>1</v>
      </c>
      <c r="V18" t="b">
        <f t="shared" si="0"/>
        <v>1</v>
      </c>
      <c r="W18" t="b">
        <f t="shared" si="1"/>
        <v>1</v>
      </c>
      <c r="X18" t="b">
        <f t="shared" si="2"/>
        <v>1</v>
      </c>
      <c r="Y18" t="b">
        <f t="shared" si="3"/>
        <v>1</v>
      </c>
      <c r="Z18" t="b">
        <f t="shared" si="4"/>
        <v>1</v>
      </c>
      <c r="AA18" t="b">
        <f t="shared" si="5"/>
        <v>1</v>
      </c>
      <c r="AB18" t="b">
        <f t="shared" si="6"/>
        <v>1</v>
      </c>
      <c r="AC18" t="b">
        <f t="shared" si="7"/>
        <v>0</v>
      </c>
      <c r="AD18" t="b">
        <f t="shared" si="8"/>
        <v>0</v>
      </c>
      <c r="AE18" t="b">
        <f t="shared" si="9"/>
        <v>0</v>
      </c>
      <c r="AF18" t="b">
        <f t="shared" si="10"/>
        <v>0</v>
      </c>
      <c r="AG18" t="b">
        <f t="shared" si="11"/>
        <v>0</v>
      </c>
      <c r="AH18" t="b">
        <f t="shared" si="12"/>
        <v>0</v>
      </c>
    </row>
    <row r="19" spans="1:34" x14ac:dyDescent="0.2">
      <c r="A19" t="s">
        <v>224</v>
      </c>
      <c r="B19" t="s">
        <v>118</v>
      </c>
      <c r="C19" t="s">
        <v>119</v>
      </c>
      <c r="D19">
        <v>2</v>
      </c>
      <c r="E19">
        <v>1</v>
      </c>
      <c r="F19">
        <v>2</v>
      </c>
      <c r="G19">
        <v>2</v>
      </c>
      <c r="H19">
        <v>2</v>
      </c>
      <c r="I19">
        <v>1</v>
      </c>
      <c r="J19">
        <v>1</v>
      </c>
      <c r="K19">
        <v>2</v>
      </c>
      <c r="L19">
        <v>1</v>
      </c>
      <c r="M19">
        <v>2</v>
      </c>
      <c r="N19">
        <v>2</v>
      </c>
      <c r="O19">
        <v>2</v>
      </c>
      <c r="P19">
        <v>2</v>
      </c>
      <c r="Q19">
        <v>9</v>
      </c>
      <c r="R19">
        <v>4</v>
      </c>
      <c r="S19">
        <v>0</v>
      </c>
      <c r="T19">
        <v>0</v>
      </c>
      <c r="V19" t="b">
        <f t="shared" si="0"/>
        <v>1</v>
      </c>
      <c r="W19" t="b">
        <f t="shared" si="1"/>
        <v>1</v>
      </c>
      <c r="X19" t="b">
        <f t="shared" si="2"/>
        <v>1</v>
      </c>
      <c r="Y19" t="b">
        <f t="shared" si="3"/>
        <v>1</v>
      </c>
      <c r="Z19" t="b">
        <f t="shared" si="4"/>
        <v>1</v>
      </c>
      <c r="AA19" t="b">
        <f t="shared" si="5"/>
        <v>1</v>
      </c>
      <c r="AB19" t="b">
        <f t="shared" si="6"/>
        <v>1</v>
      </c>
      <c r="AC19" t="b">
        <f t="shared" si="7"/>
        <v>1</v>
      </c>
      <c r="AD19" t="b">
        <f t="shared" si="8"/>
        <v>1</v>
      </c>
      <c r="AE19" t="b">
        <f t="shared" si="9"/>
        <v>0</v>
      </c>
      <c r="AF19" t="b">
        <f t="shared" si="10"/>
        <v>0</v>
      </c>
      <c r="AG19" t="b">
        <f t="shared" si="11"/>
        <v>0</v>
      </c>
      <c r="AH19" t="b">
        <f t="shared" si="12"/>
        <v>0</v>
      </c>
    </row>
    <row r="20" spans="1:34" x14ac:dyDescent="0.2">
      <c r="A20" t="s">
        <v>225</v>
      </c>
      <c r="B20" t="s">
        <v>118</v>
      </c>
      <c r="C20" t="s">
        <v>119</v>
      </c>
      <c r="D20">
        <v>0</v>
      </c>
      <c r="E20">
        <v>2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2</v>
      </c>
      <c r="P20">
        <v>0</v>
      </c>
      <c r="Q20">
        <v>2</v>
      </c>
      <c r="R20">
        <v>0</v>
      </c>
      <c r="S20">
        <v>11</v>
      </c>
      <c r="T20">
        <v>0</v>
      </c>
      <c r="V20" t="b">
        <f t="shared" si="0"/>
        <v>1</v>
      </c>
      <c r="W20" t="b">
        <f t="shared" si="1"/>
        <v>1</v>
      </c>
      <c r="X20" t="b">
        <f t="shared" si="2"/>
        <v>0</v>
      </c>
      <c r="Y20" t="b">
        <f t="shared" si="3"/>
        <v>0</v>
      </c>
      <c r="Z20" t="b">
        <f t="shared" si="4"/>
        <v>0</v>
      </c>
      <c r="AA20" t="b">
        <f t="shared" si="5"/>
        <v>0</v>
      </c>
      <c r="AB20" t="b">
        <f t="shared" si="6"/>
        <v>0</v>
      </c>
      <c r="AC20" t="b">
        <f t="shared" si="7"/>
        <v>0</v>
      </c>
      <c r="AD20" t="b">
        <f t="shared" si="8"/>
        <v>0</v>
      </c>
      <c r="AE20" t="b">
        <f t="shared" si="9"/>
        <v>0</v>
      </c>
      <c r="AF20" t="b">
        <f t="shared" si="10"/>
        <v>0</v>
      </c>
      <c r="AG20" t="b">
        <f t="shared" si="11"/>
        <v>0</v>
      </c>
      <c r="AH20" t="b">
        <f t="shared" si="12"/>
        <v>0</v>
      </c>
    </row>
    <row r="21" spans="1:34" x14ac:dyDescent="0.2">
      <c r="A21" t="s">
        <v>226</v>
      </c>
      <c r="B21" t="s">
        <v>227</v>
      </c>
      <c r="C21" t="s">
        <v>228</v>
      </c>
      <c r="D21">
        <v>2</v>
      </c>
      <c r="E21">
        <v>1</v>
      </c>
      <c r="F21">
        <v>2</v>
      </c>
      <c r="G21">
        <v>2</v>
      </c>
      <c r="H21">
        <v>1</v>
      </c>
      <c r="I21">
        <v>2</v>
      </c>
      <c r="J21">
        <v>2</v>
      </c>
      <c r="K21">
        <v>2</v>
      </c>
      <c r="L21">
        <v>1</v>
      </c>
      <c r="M21">
        <v>2</v>
      </c>
      <c r="N21">
        <v>2</v>
      </c>
      <c r="O21">
        <v>2</v>
      </c>
      <c r="P21">
        <v>2</v>
      </c>
      <c r="Q21">
        <v>10</v>
      </c>
      <c r="R21">
        <v>3</v>
      </c>
      <c r="S21">
        <v>0</v>
      </c>
      <c r="T21">
        <v>0</v>
      </c>
      <c r="V21" t="b">
        <f t="shared" si="0"/>
        <v>1</v>
      </c>
      <c r="W21" t="b">
        <f t="shared" si="1"/>
        <v>1</v>
      </c>
      <c r="X21" t="b">
        <f t="shared" si="2"/>
        <v>1</v>
      </c>
      <c r="Y21" t="b">
        <f t="shared" si="3"/>
        <v>1</v>
      </c>
      <c r="Z21" t="b">
        <f t="shared" si="4"/>
        <v>1</v>
      </c>
      <c r="AA21" t="b">
        <f t="shared" si="5"/>
        <v>1</v>
      </c>
      <c r="AB21" t="b">
        <f t="shared" si="6"/>
        <v>1</v>
      </c>
      <c r="AC21" t="b">
        <f t="shared" si="7"/>
        <v>1</v>
      </c>
      <c r="AD21" t="b">
        <f t="shared" si="8"/>
        <v>1</v>
      </c>
      <c r="AE21" t="b">
        <f t="shared" si="9"/>
        <v>1</v>
      </c>
      <c r="AF21" t="b">
        <f t="shared" si="10"/>
        <v>0</v>
      </c>
      <c r="AG21" t="b">
        <f t="shared" si="11"/>
        <v>0</v>
      </c>
      <c r="AH21" t="b">
        <f t="shared" si="12"/>
        <v>0</v>
      </c>
    </row>
    <row r="22" spans="1:34" x14ac:dyDescent="0.2">
      <c r="A22" t="s">
        <v>229</v>
      </c>
      <c r="B22" t="s">
        <v>124</v>
      </c>
      <c r="C22" t="s">
        <v>124</v>
      </c>
      <c r="E22">
        <v>2</v>
      </c>
      <c r="F22">
        <v>2</v>
      </c>
      <c r="G22">
        <v>2</v>
      </c>
      <c r="H22">
        <v>2</v>
      </c>
      <c r="I22">
        <v>0</v>
      </c>
      <c r="J22">
        <v>1</v>
      </c>
      <c r="K22">
        <v>1</v>
      </c>
      <c r="L22">
        <v>1</v>
      </c>
      <c r="M22">
        <v>2</v>
      </c>
      <c r="O22">
        <v>2</v>
      </c>
      <c r="P22">
        <v>1</v>
      </c>
      <c r="Q22">
        <v>6</v>
      </c>
      <c r="R22">
        <v>4</v>
      </c>
      <c r="S22">
        <v>1</v>
      </c>
      <c r="T22">
        <v>2</v>
      </c>
      <c r="V22" t="b">
        <f t="shared" si="0"/>
        <v>1</v>
      </c>
      <c r="W22" t="b">
        <f t="shared" si="1"/>
        <v>1</v>
      </c>
      <c r="X22" t="b">
        <f t="shared" si="2"/>
        <v>1</v>
      </c>
      <c r="Y22" t="b">
        <f t="shared" si="3"/>
        <v>1</v>
      </c>
      <c r="Z22" t="b">
        <f t="shared" si="4"/>
        <v>1</v>
      </c>
      <c r="AA22" t="b">
        <f t="shared" si="5"/>
        <v>1</v>
      </c>
      <c r="AB22" t="b">
        <f t="shared" si="6"/>
        <v>0</v>
      </c>
      <c r="AC22" t="b">
        <f t="shared" si="7"/>
        <v>0</v>
      </c>
      <c r="AD22" t="b">
        <f t="shared" si="8"/>
        <v>0</v>
      </c>
      <c r="AE22" t="b">
        <f t="shared" si="9"/>
        <v>0</v>
      </c>
      <c r="AF22" t="b">
        <f t="shared" si="10"/>
        <v>0</v>
      </c>
      <c r="AG22" t="b">
        <f t="shared" si="11"/>
        <v>0</v>
      </c>
      <c r="AH22" t="b">
        <f t="shared" si="12"/>
        <v>0</v>
      </c>
    </row>
    <row r="23" spans="1:34" x14ac:dyDescent="0.2">
      <c r="A23" t="s">
        <v>230</v>
      </c>
      <c r="B23" t="s">
        <v>124</v>
      </c>
      <c r="C23" t="s">
        <v>124</v>
      </c>
      <c r="E23">
        <v>1</v>
      </c>
      <c r="F23">
        <v>1</v>
      </c>
      <c r="G23">
        <v>2</v>
      </c>
      <c r="H23">
        <v>1</v>
      </c>
      <c r="I23">
        <v>0</v>
      </c>
      <c r="J23">
        <v>2</v>
      </c>
      <c r="K23">
        <v>1</v>
      </c>
      <c r="L23">
        <v>1</v>
      </c>
      <c r="M23">
        <v>0</v>
      </c>
      <c r="N23">
        <v>1</v>
      </c>
      <c r="O23">
        <v>2</v>
      </c>
      <c r="P23">
        <v>2</v>
      </c>
      <c r="Q23">
        <v>4</v>
      </c>
      <c r="R23">
        <v>6</v>
      </c>
      <c r="S23">
        <v>2</v>
      </c>
      <c r="T23">
        <v>1</v>
      </c>
      <c r="V23" t="b">
        <f t="shared" si="0"/>
        <v>1</v>
      </c>
      <c r="W23" t="b">
        <f t="shared" si="1"/>
        <v>1</v>
      </c>
      <c r="X23" t="b">
        <f t="shared" si="2"/>
        <v>1</v>
      </c>
      <c r="Y23" t="b">
        <f t="shared" si="3"/>
        <v>1</v>
      </c>
      <c r="Z23" t="b">
        <f t="shared" si="4"/>
        <v>0</v>
      </c>
      <c r="AA23" t="b">
        <f t="shared" si="5"/>
        <v>0</v>
      </c>
      <c r="AB23" t="b">
        <f t="shared" si="6"/>
        <v>0</v>
      </c>
      <c r="AC23" t="b">
        <f t="shared" si="7"/>
        <v>0</v>
      </c>
      <c r="AD23" t="b">
        <f t="shared" si="8"/>
        <v>0</v>
      </c>
      <c r="AE23" t="b">
        <f t="shared" si="9"/>
        <v>0</v>
      </c>
      <c r="AF23" t="b">
        <f t="shared" si="10"/>
        <v>0</v>
      </c>
      <c r="AG23" t="b">
        <f t="shared" si="11"/>
        <v>0</v>
      </c>
      <c r="AH23" t="b">
        <f t="shared" si="12"/>
        <v>0</v>
      </c>
    </row>
    <row r="24" spans="1:34" x14ac:dyDescent="0.2">
      <c r="A24" t="s">
        <v>231</v>
      </c>
      <c r="B24" t="s">
        <v>232</v>
      </c>
      <c r="C24" t="s">
        <v>232</v>
      </c>
      <c r="D24">
        <v>0</v>
      </c>
      <c r="E24">
        <v>2</v>
      </c>
      <c r="F24">
        <v>1</v>
      </c>
      <c r="G24">
        <v>0</v>
      </c>
      <c r="H24">
        <v>0</v>
      </c>
      <c r="I24">
        <v>0</v>
      </c>
      <c r="J24">
        <v>0</v>
      </c>
      <c r="K24">
        <v>1</v>
      </c>
      <c r="L24">
        <v>0</v>
      </c>
      <c r="M24">
        <v>0</v>
      </c>
      <c r="P24">
        <v>0</v>
      </c>
      <c r="Q24">
        <v>1</v>
      </c>
      <c r="R24">
        <v>2</v>
      </c>
      <c r="S24">
        <v>8</v>
      </c>
      <c r="T24">
        <v>2</v>
      </c>
      <c r="V24" t="b">
        <f t="shared" si="0"/>
        <v>1</v>
      </c>
      <c r="W24" t="b">
        <f t="shared" si="1"/>
        <v>0</v>
      </c>
      <c r="X24" t="b">
        <f t="shared" si="2"/>
        <v>0</v>
      </c>
      <c r="Y24" t="b">
        <f t="shared" si="3"/>
        <v>0</v>
      </c>
      <c r="Z24" t="b">
        <f t="shared" si="4"/>
        <v>0</v>
      </c>
      <c r="AA24" t="b">
        <f t="shared" si="5"/>
        <v>0</v>
      </c>
      <c r="AB24" t="b">
        <f t="shared" si="6"/>
        <v>0</v>
      </c>
      <c r="AC24" t="b">
        <f t="shared" si="7"/>
        <v>0</v>
      </c>
      <c r="AD24" t="b">
        <f t="shared" si="8"/>
        <v>0</v>
      </c>
      <c r="AE24" t="b">
        <f t="shared" si="9"/>
        <v>0</v>
      </c>
      <c r="AF24" t="b">
        <f t="shared" si="10"/>
        <v>0</v>
      </c>
      <c r="AG24" t="b">
        <f t="shared" si="11"/>
        <v>0</v>
      </c>
      <c r="AH24" t="b">
        <f t="shared" si="12"/>
        <v>0</v>
      </c>
    </row>
    <row r="25" spans="1:34" x14ac:dyDescent="0.2">
      <c r="A25" t="s">
        <v>233</v>
      </c>
      <c r="B25" t="s">
        <v>234</v>
      </c>
      <c r="C25" t="s">
        <v>235</v>
      </c>
      <c r="D25">
        <v>1</v>
      </c>
      <c r="E25">
        <v>2</v>
      </c>
      <c r="F25">
        <v>2</v>
      </c>
      <c r="G25">
        <v>2</v>
      </c>
      <c r="H25">
        <v>1</v>
      </c>
      <c r="I25">
        <v>0</v>
      </c>
      <c r="J25">
        <v>1</v>
      </c>
      <c r="K25">
        <v>2</v>
      </c>
      <c r="L25">
        <v>1</v>
      </c>
      <c r="M25">
        <v>2</v>
      </c>
      <c r="N25">
        <v>1</v>
      </c>
      <c r="O25">
        <v>1</v>
      </c>
      <c r="P25">
        <v>1</v>
      </c>
      <c r="Q25">
        <v>5</v>
      </c>
      <c r="R25">
        <v>7</v>
      </c>
      <c r="S25">
        <v>1</v>
      </c>
      <c r="T25">
        <v>0</v>
      </c>
      <c r="V25" t="b">
        <f t="shared" si="0"/>
        <v>1</v>
      </c>
      <c r="W25" t="b">
        <f t="shared" si="1"/>
        <v>1</v>
      </c>
      <c r="X25" t="b">
        <f t="shared" si="2"/>
        <v>1</v>
      </c>
      <c r="Y25" t="b">
        <f t="shared" si="3"/>
        <v>1</v>
      </c>
      <c r="Z25" t="b">
        <f t="shared" si="4"/>
        <v>1</v>
      </c>
      <c r="AA25" t="b">
        <f t="shared" si="5"/>
        <v>0</v>
      </c>
      <c r="AB25" t="b">
        <f t="shared" si="6"/>
        <v>0</v>
      </c>
      <c r="AC25" t="b">
        <f t="shared" si="7"/>
        <v>0</v>
      </c>
      <c r="AD25" t="b">
        <f t="shared" si="8"/>
        <v>0</v>
      </c>
      <c r="AE25" t="b">
        <f t="shared" si="9"/>
        <v>0</v>
      </c>
      <c r="AF25" t="b">
        <f t="shared" si="10"/>
        <v>0</v>
      </c>
      <c r="AG25" t="b">
        <f t="shared" si="11"/>
        <v>0</v>
      </c>
      <c r="AH25" t="b">
        <f t="shared" si="12"/>
        <v>0</v>
      </c>
    </row>
    <row r="26" spans="1:34" x14ac:dyDescent="0.2">
      <c r="A26" t="s">
        <v>236</v>
      </c>
      <c r="B26" t="s">
        <v>237</v>
      </c>
      <c r="C26" t="s">
        <v>237</v>
      </c>
      <c r="D26">
        <v>2</v>
      </c>
      <c r="E26">
        <v>2</v>
      </c>
      <c r="F26">
        <v>2</v>
      </c>
      <c r="G26">
        <v>2</v>
      </c>
      <c r="H26">
        <v>2</v>
      </c>
      <c r="I26">
        <v>1</v>
      </c>
      <c r="J26">
        <v>2</v>
      </c>
      <c r="K26">
        <v>2</v>
      </c>
      <c r="L26">
        <v>1</v>
      </c>
      <c r="M26">
        <v>2</v>
      </c>
      <c r="O26">
        <v>2</v>
      </c>
      <c r="P26">
        <v>2</v>
      </c>
      <c r="Q26">
        <v>10</v>
      </c>
      <c r="R26">
        <v>2</v>
      </c>
      <c r="S26">
        <v>0</v>
      </c>
      <c r="T26">
        <v>1</v>
      </c>
      <c r="V26" t="b">
        <f t="shared" si="0"/>
        <v>1</v>
      </c>
      <c r="W26" t="b">
        <f t="shared" si="1"/>
        <v>1</v>
      </c>
      <c r="X26" t="b">
        <f t="shared" si="2"/>
        <v>1</v>
      </c>
      <c r="Y26" t="b">
        <f t="shared" si="3"/>
        <v>1</v>
      </c>
      <c r="Z26" t="b">
        <f t="shared" si="4"/>
        <v>1</v>
      </c>
      <c r="AA26" t="b">
        <f t="shared" si="5"/>
        <v>1</v>
      </c>
      <c r="AB26" t="b">
        <f t="shared" si="6"/>
        <v>1</v>
      </c>
      <c r="AC26" t="b">
        <f t="shared" si="7"/>
        <v>1</v>
      </c>
      <c r="AD26" t="b">
        <f t="shared" si="8"/>
        <v>1</v>
      </c>
      <c r="AE26" t="b">
        <f t="shared" si="9"/>
        <v>1</v>
      </c>
      <c r="AF26" t="b">
        <f t="shared" si="10"/>
        <v>0</v>
      </c>
      <c r="AG26" t="b">
        <f t="shared" si="11"/>
        <v>0</v>
      </c>
      <c r="AH26" t="b">
        <f t="shared" si="12"/>
        <v>0</v>
      </c>
    </row>
    <row r="27" spans="1:34" x14ac:dyDescent="0.2">
      <c r="A27" t="s">
        <v>238</v>
      </c>
      <c r="B27" t="s">
        <v>237</v>
      </c>
      <c r="C27" t="s">
        <v>237</v>
      </c>
      <c r="D27">
        <v>1</v>
      </c>
      <c r="E27">
        <v>0</v>
      </c>
      <c r="F27">
        <v>1</v>
      </c>
      <c r="G27">
        <v>2</v>
      </c>
      <c r="H27">
        <v>2</v>
      </c>
      <c r="I27">
        <v>0</v>
      </c>
      <c r="J27">
        <v>2</v>
      </c>
      <c r="K27">
        <v>2</v>
      </c>
      <c r="L27">
        <v>1</v>
      </c>
      <c r="M27">
        <v>2</v>
      </c>
      <c r="O27">
        <v>0</v>
      </c>
      <c r="P27">
        <v>0</v>
      </c>
      <c r="Q27">
        <v>5</v>
      </c>
      <c r="R27">
        <v>3</v>
      </c>
      <c r="S27">
        <v>4</v>
      </c>
      <c r="T27">
        <v>1</v>
      </c>
      <c r="V27" t="b">
        <f t="shared" si="0"/>
        <v>1</v>
      </c>
      <c r="W27" t="b">
        <f t="shared" si="1"/>
        <v>1</v>
      </c>
      <c r="X27" t="b">
        <f t="shared" si="2"/>
        <v>1</v>
      </c>
      <c r="Y27" t="b">
        <f t="shared" si="3"/>
        <v>1</v>
      </c>
      <c r="Z27" t="b">
        <f t="shared" si="4"/>
        <v>1</v>
      </c>
      <c r="AA27" t="b">
        <f t="shared" si="5"/>
        <v>0</v>
      </c>
      <c r="AB27" t="b">
        <f t="shared" si="6"/>
        <v>0</v>
      </c>
      <c r="AC27" t="b">
        <f t="shared" si="7"/>
        <v>0</v>
      </c>
      <c r="AD27" t="b">
        <f t="shared" si="8"/>
        <v>0</v>
      </c>
      <c r="AE27" t="b">
        <f t="shared" si="9"/>
        <v>0</v>
      </c>
      <c r="AF27" t="b">
        <f t="shared" si="10"/>
        <v>0</v>
      </c>
      <c r="AG27" t="b">
        <f t="shared" si="11"/>
        <v>0</v>
      </c>
      <c r="AH27" t="b">
        <f t="shared" si="12"/>
        <v>0</v>
      </c>
    </row>
    <row r="28" spans="1:34" x14ac:dyDescent="0.2">
      <c r="A28" t="s">
        <v>239</v>
      </c>
      <c r="B28" t="s">
        <v>237</v>
      </c>
      <c r="C28" t="s">
        <v>237</v>
      </c>
      <c r="E28">
        <v>2</v>
      </c>
      <c r="F28">
        <v>1</v>
      </c>
      <c r="G28">
        <v>2</v>
      </c>
      <c r="H28">
        <v>1</v>
      </c>
      <c r="I28">
        <v>0</v>
      </c>
      <c r="J28">
        <v>1</v>
      </c>
      <c r="K28">
        <v>2</v>
      </c>
      <c r="L28">
        <v>1</v>
      </c>
      <c r="M28">
        <v>1</v>
      </c>
      <c r="O28">
        <v>2</v>
      </c>
      <c r="P28">
        <v>0</v>
      </c>
      <c r="Q28">
        <v>4</v>
      </c>
      <c r="R28">
        <v>5</v>
      </c>
      <c r="S28">
        <v>2</v>
      </c>
      <c r="T28">
        <v>2</v>
      </c>
      <c r="V28" t="b">
        <f t="shared" si="0"/>
        <v>1</v>
      </c>
      <c r="W28" t="b">
        <f t="shared" si="1"/>
        <v>1</v>
      </c>
      <c r="X28" t="b">
        <f t="shared" si="2"/>
        <v>1</v>
      </c>
      <c r="Y28" t="b">
        <f t="shared" si="3"/>
        <v>1</v>
      </c>
      <c r="Z28" t="b">
        <f t="shared" si="4"/>
        <v>0</v>
      </c>
      <c r="AA28" t="b">
        <f t="shared" si="5"/>
        <v>0</v>
      </c>
      <c r="AB28" t="b">
        <f t="shared" si="6"/>
        <v>0</v>
      </c>
      <c r="AC28" t="b">
        <f t="shared" si="7"/>
        <v>0</v>
      </c>
      <c r="AD28" t="b">
        <f t="shared" si="8"/>
        <v>0</v>
      </c>
      <c r="AE28" t="b">
        <f t="shared" si="9"/>
        <v>0</v>
      </c>
      <c r="AF28" t="b">
        <f t="shared" si="10"/>
        <v>0</v>
      </c>
      <c r="AG28" t="b">
        <f t="shared" si="11"/>
        <v>0</v>
      </c>
      <c r="AH28" t="b">
        <f t="shared" si="12"/>
        <v>0</v>
      </c>
    </row>
    <row r="29" spans="1:34" x14ac:dyDescent="0.2">
      <c r="A29" t="s">
        <v>52</v>
      </c>
      <c r="B29" t="s">
        <v>53</v>
      </c>
      <c r="C29" t="s">
        <v>53</v>
      </c>
      <c r="D29">
        <v>0</v>
      </c>
      <c r="E29">
        <v>2</v>
      </c>
      <c r="F29">
        <v>1</v>
      </c>
      <c r="G29">
        <v>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</v>
      </c>
      <c r="P29">
        <v>0</v>
      </c>
      <c r="Q29">
        <v>2</v>
      </c>
      <c r="R29">
        <v>2</v>
      </c>
      <c r="S29">
        <v>9</v>
      </c>
      <c r="T29">
        <v>0</v>
      </c>
      <c r="V29" t="b">
        <f t="shared" si="0"/>
        <v>1</v>
      </c>
      <c r="W29" t="b">
        <f t="shared" si="1"/>
        <v>1</v>
      </c>
      <c r="X29" t="b">
        <f t="shared" si="2"/>
        <v>0</v>
      </c>
      <c r="Y29" t="b">
        <f t="shared" si="3"/>
        <v>0</v>
      </c>
      <c r="Z29" t="b">
        <f t="shared" si="4"/>
        <v>0</v>
      </c>
      <c r="AA29" t="b">
        <f t="shared" si="5"/>
        <v>0</v>
      </c>
      <c r="AB29" t="b">
        <f t="shared" si="6"/>
        <v>0</v>
      </c>
      <c r="AC29" t="b">
        <f t="shared" si="7"/>
        <v>0</v>
      </c>
      <c r="AD29" t="b">
        <f t="shared" si="8"/>
        <v>0</v>
      </c>
      <c r="AE29" t="b">
        <f t="shared" si="9"/>
        <v>0</v>
      </c>
      <c r="AF29" t="b">
        <f t="shared" si="10"/>
        <v>0</v>
      </c>
      <c r="AG29" t="b">
        <f t="shared" si="11"/>
        <v>0</v>
      </c>
      <c r="AH29" t="b">
        <f t="shared" si="12"/>
        <v>0</v>
      </c>
    </row>
    <row r="30" spans="1:34" x14ac:dyDescent="0.2">
      <c r="A30" t="s">
        <v>240</v>
      </c>
      <c r="B30" t="s">
        <v>241</v>
      </c>
      <c r="C30" t="s">
        <v>241</v>
      </c>
      <c r="D30">
        <v>0</v>
      </c>
      <c r="E30">
        <v>2</v>
      </c>
      <c r="F30">
        <v>1</v>
      </c>
      <c r="G30">
        <v>0</v>
      </c>
      <c r="H30">
        <v>0</v>
      </c>
      <c r="I30">
        <v>0</v>
      </c>
      <c r="J30">
        <v>0</v>
      </c>
      <c r="K30">
        <v>1</v>
      </c>
      <c r="L30">
        <v>1</v>
      </c>
      <c r="M30">
        <v>1</v>
      </c>
      <c r="O30">
        <v>2</v>
      </c>
      <c r="P30">
        <v>0</v>
      </c>
      <c r="Q30">
        <v>2</v>
      </c>
      <c r="R30">
        <v>4</v>
      </c>
      <c r="S30">
        <v>6</v>
      </c>
      <c r="T30">
        <v>1</v>
      </c>
      <c r="V30" t="b">
        <f t="shared" si="0"/>
        <v>1</v>
      </c>
      <c r="W30" t="b">
        <f t="shared" si="1"/>
        <v>1</v>
      </c>
      <c r="X30" t="b">
        <f t="shared" si="2"/>
        <v>0</v>
      </c>
      <c r="Y30" t="b">
        <f t="shared" si="3"/>
        <v>0</v>
      </c>
      <c r="Z30" t="b">
        <f t="shared" si="4"/>
        <v>0</v>
      </c>
      <c r="AA30" t="b">
        <f t="shared" si="5"/>
        <v>0</v>
      </c>
      <c r="AB30" t="b">
        <f t="shared" si="6"/>
        <v>0</v>
      </c>
      <c r="AC30" t="b">
        <f t="shared" si="7"/>
        <v>0</v>
      </c>
      <c r="AD30" t="b">
        <f t="shared" si="8"/>
        <v>0</v>
      </c>
      <c r="AE30" t="b">
        <f t="shared" si="9"/>
        <v>0</v>
      </c>
      <c r="AF30" t="b">
        <f t="shared" si="10"/>
        <v>0</v>
      </c>
      <c r="AG30" t="b">
        <f t="shared" si="11"/>
        <v>0</v>
      </c>
      <c r="AH30" t="b">
        <f t="shared" si="12"/>
        <v>0</v>
      </c>
    </row>
    <row r="31" spans="1:34" x14ac:dyDescent="0.2">
      <c r="A31" t="s">
        <v>57</v>
      </c>
      <c r="B31" t="s">
        <v>128</v>
      </c>
      <c r="C31" t="s">
        <v>128</v>
      </c>
      <c r="D31">
        <v>1</v>
      </c>
      <c r="E31">
        <v>0</v>
      </c>
      <c r="F31">
        <v>1</v>
      </c>
      <c r="G31">
        <v>2</v>
      </c>
      <c r="H31">
        <v>0</v>
      </c>
      <c r="I31">
        <v>0</v>
      </c>
      <c r="J31">
        <v>1</v>
      </c>
      <c r="K31">
        <v>1</v>
      </c>
      <c r="L31">
        <v>0</v>
      </c>
      <c r="M31">
        <v>0</v>
      </c>
      <c r="N31">
        <v>0</v>
      </c>
      <c r="O31">
        <v>1</v>
      </c>
      <c r="P31">
        <v>0</v>
      </c>
      <c r="Q31">
        <v>1</v>
      </c>
      <c r="R31">
        <v>5</v>
      </c>
      <c r="S31">
        <v>7</v>
      </c>
      <c r="T31">
        <v>0</v>
      </c>
      <c r="V31" t="b">
        <f t="shared" si="0"/>
        <v>1</v>
      </c>
      <c r="W31" t="b">
        <f t="shared" si="1"/>
        <v>0</v>
      </c>
      <c r="X31" t="b">
        <f t="shared" si="2"/>
        <v>0</v>
      </c>
      <c r="Y31" t="b">
        <f t="shared" si="3"/>
        <v>0</v>
      </c>
      <c r="Z31" t="b">
        <f t="shared" si="4"/>
        <v>0</v>
      </c>
      <c r="AA31" t="b">
        <f t="shared" si="5"/>
        <v>0</v>
      </c>
      <c r="AB31" t="b">
        <f t="shared" si="6"/>
        <v>0</v>
      </c>
      <c r="AC31" t="b">
        <f t="shared" si="7"/>
        <v>0</v>
      </c>
      <c r="AD31" t="b">
        <f t="shared" si="8"/>
        <v>0</v>
      </c>
      <c r="AE31" t="b">
        <f t="shared" si="9"/>
        <v>0</v>
      </c>
      <c r="AF31" t="b">
        <f t="shared" si="10"/>
        <v>0</v>
      </c>
      <c r="AG31" t="b">
        <f t="shared" si="11"/>
        <v>0</v>
      </c>
      <c r="AH31" t="b">
        <f t="shared" si="12"/>
        <v>0</v>
      </c>
    </row>
    <row r="32" spans="1:34" x14ac:dyDescent="0.2">
      <c r="A32" t="s">
        <v>242</v>
      </c>
      <c r="B32" t="s">
        <v>133</v>
      </c>
      <c r="C32" t="s">
        <v>133</v>
      </c>
      <c r="D32">
        <v>0</v>
      </c>
      <c r="E32">
        <v>0</v>
      </c>
      <c r="F32">
        <v>1</v>
      </c>
      <c r="G32">
        <v>1</v>
      </c>
      <c r="H32">
        <v>0</v>
      </c>
      <c r="I32">
        <v>0</v>
      </c>
      <c r="J32">
        <v>1</v>
      </c>
      <c r="K32">
        <v>1</v>
      </c>
      <c r="M32">
        <v>0</v>
      </c>
      <c r="N32">
        <v>1</v>
      </c>
      <c r="P32">
        <v>0</v>
      </c>
      <c r="Q32">
        <v>0</v>
      </c>
      <c r="R32">
        <v>5</v>
      </c>
      <c r="S32">
        <v>6</v>
      </c>
      <c r="T32">
        <v>2</v>
      </c>
      <c r="V32" t="b">
        <f t="shared" si="0"/>
        <v>0</v>
      </c>
      <c r="W32" t="b">
        <f t="shared" si="1"/>
        <v>0</v>
      </c>
      <c r="X32" t="b">
        <f t="shared" si="2"/>
        <v>0</v>
      </c>
      <c r="Y32" t="b">
        <f t="shared" si="3"/>
        <v>0</v>
      </c>
      <c r="Z32" t="b">
        <f t="shared" si="4"/>
        <v>0</v>
      </c>
      <c r="AA32" t="b">
        <f t="shared" si="5"/>
        <v>0</v>
      </c>
      <c r="AB32" t="b">
        <f t="shared" si="6"/>
        <v>0</v>
      </c>
      <c r="AC32" t="b">
        <f t="shared" si="7"/>
        <v>0</v>
      </c>
      <c r="AD32" t="b">
        <f t="shared" si="8"/>
        <v>0</v>
      </c>
      <c r="AE32" t="b">
        <f t="shared" si="9"/>
        <v>0</v>
      </c>
      <c r="AF32" t="b">
        <f t="shared" si="10"/>
        <v>0</v>
      </c>
      <c r="AG32" t="b">
        <f t="shared" si="11"/>
        <v>0</v>
      </c>
      <c r="AH32" t="b">
        <f t="shared" si="12"/>
        <v>0</v>
      </c>
    </row>
    <row r="33" spans="1:34" x14ac:dyDescent="0.2">
      <c r="A33" t="s">
        <v>243</v>
      </c>
      <c r="B33" t="s">
        <v>170</v>
      </c>
      <c r="C33" t="s">
        <v>244</v>
      </c>
      <c r="D33">
        <v>1</v>
      </c>
      <c r="E33">
        <v>1</v>
      </c>
      <c r="F33">
        <v>2</v>
      </c>
      <c r="G33">
        <v>2</v>
      </c>
      <c r="H33">
        <v>1</v>
      </c>
      <c r="I33">
        <v>0</v>
      </c>
      <c r="J33">
        <v>1</v>
      </c>
      <c r="K33">
        <v>2</v>
      </c>
      <c r="L33">
        <v>1</v>
      </c>
      <c r="M33">
        <v>2</v>
      </c>
      <c r="N33">
        <v>0</v>
      </c>
      <c r="O33">
        <v>2</v>
      </c>
      <c r="P33">
        <v>1</v>
      </c>
      <c r="Q33">
        <v>5</v>
      </c>
      <c r="R33">
        <v>6</v>
      </c>
      <c r="S33">
        <v>2</v>
      </c>
      <c r="T33">
        <v>0</v>
      </c>
      <c r="V33" t="b">
        <f t="shared" si="0"/>
        <v>1</v>
      </c>
      <c r="W33" t="b">
        <f t="shared" si="1"/>
        <v>1</v>
      </c>
      <c r="X33" t="b">
        <f t="shared" si="2"/>
        <v>1</v>
      </c>
      <c r="Y33" t="b">
        <f t="shared" si="3"/>
        <v>1</v>
      </c>
      <c r="Z33" t="b">
        <f t="shared" si="4"/>
        <v>1</v>
      </c>
      <c r="AA33" t="b">
        <f t="shared" si="5"/>
        <v>0</v>
      </c>
      <c r="AB33" t="b">
        <f t="shared" si="6"/>
        <v>0</v>
      </c>
      <c r="AC33" t="b">
        <f t="shared" si="7"/>
        <v>0</v>
      </c>
      <c r="AD33" t="b">
        <f t="shared" si="8"/>
        <v>0</v>
      </c>
      <c r="AE33" t="b">
        <f t="shared" si="9"/>
        <v>0</v>
      </c>
      <c r="AF33" t="b">
        <f t="shared" si="10"/>
        <v>0</v>
      </c>
      <c r="AG33" t="b">
        <f t="shared" si="11"/>
        <v>0</v>
      </c>
      <c r="AH33" t="b">
        <f t="shared" si="12"/>
        <v>0</v>
      </c>
    </row>
    <row r="34" spans="1:34" x14ac:dyDescent="0.2">
      <c r="A34" t="s">
        <v>245</v>
      </c>
      <c r="B34" t="s">
        <v>246</v>
      </c>
      <c r="C34" t="s">
        <v>247</v>
      </c>
      <c r="D34">
        <v>1</v>
      </c>
      <c r="E34">
        <v>2</v>
      </c>
      <c r="F34">
        <v>1</v>
      </c>
      <c r="G34">
        <v>2</v>
      </c>
      <c r="H34">
        <v>2</v>
      </c>
      <c r="I34">
        <v>1</v>
      </c>
      <c r="J34">
        <v>1</v>
      </c>
      <c r="K34">
        <v>2</v>
      </c>
      <c r="L34">
        <v>1</v>
      </c>
      <c r="M34">
        <v>1</v>
      </c>
      <c r="N34">
        <v>1</v>
      </c>
      <c r="O34">
        <v>2</v>
      </c>
      <c r="P34">
        <v>1</v>
      </c>
      <c r="Q34">
        <v>5</v>
      </c>
      <c r="R34">
        <v>8</v>
      </c>
      <c r="S34">
        <v>0</v>
      </c>
      <c r="T34">
        <v>0</v>
      </c>
      <c r="V34" t="b">
        <f t="shared" si="0"/>
        <v>1</v>
      </c>
      <c r="W34" t="b">
        <f t="shared" si="1"/>
        <v>1</v>
      </c>
      <c r="X34" t="b">
        <f t="shared" si="2"/>
        <v>1</v>
      </c>
      <c r="Y34" t="b">
        <f t="shared" si="3"/>
        <v>1</v>
      </c>
      <c r="Z34" t="b">
        <f t="shared" si="4"/>
        <v>1</v>
      </c>
      <c r="AA34" t="b">
        <f t="shared" si="5"/>
        <v>0</v>
      </c>
      <c r="AB34" t="b">
        <f t="shared" si="6"/>
        <v>0</v>
      </c>
      <c r="AC34" t="b">
        <f t="shared" si="7"/>
        <v>0</v>
      </c>
      <c r="AD34" t="b">
        <f t="shared" si="8"/>
        <v>0</v>
      </c>
      <c r="AE34" t="b">
        <f t="shared" si="9"/>
        <v>0</v>
      </c>
      <c r="AF34" t="b">
        <f t="shared" si="10"/>
        <v>0</v>
      </c>
      <c r="AG34" t="b">
        <f t="shared" si="11"/>
        <v>0</v>
      </c>
      <c r="AH34" t="b">
        <f t="shared" si="12"/>
        <v>0</v>
      </c>
    </row>
    <row r="35" spans="1:34" x14ac:dyDescent="0.2">
      <c r="A35" t="s">
        <v>248</v>
      </c>
      <c r="B35" t="s">
        <v>137</v>
      </c>
      <c r="C35" t="s">
        <v>137</v>
      </c>
      <c r="D35">
        <v>0</v>
      </c>
      <c r="E35">
        <v>2</v>
      </c>
      <c r="F35">
        <v>2</v>
      </c>
      <c r="G35">
        <v>2</v>
      </c>
      <c r="H35">
        <v>0</v>
      </c>
      <c r="I35">
        <v>0</v>
      </c>
      <c r="J35">
        <v>1</v>
      </c>
      <c r="K35">
        <v>1</v>
      </c>
      <c r="L35">
        <v>1</v>
      </c>
      <c r="M35">
        <v>2</v>
      </c>
      <c r="O35">
        <v>2</v>
      </c>
      <c r="P35">
        <v>0</v>
      </c>
      <c r="Q35">
        <v>5</v>
      </c>
      <c r="R35">
        <v>3</v>
      </c>
      <c r="S35">
        <v>4</v>
      </c>
      <c r="T35">
        <v>1</v>
      </c>
      <c r="V35" t="b">
        <f t="shared" si="0"/>
        <v>1</v>
      </c>
      <c r="W35" t="b">
        <f t="shared" si="1"/>
        <v>1</v>
      </c>
      <c r="X35" t="b">
        <f t="shared" si="2"/>
        <v>1</v>
      </c>
      <c r="Y35" t="b">
        <f t="shared" si="3"/>
        <v>1</v>
      </c>
      <c r="Z35" t="b">
        <f t="shared" si="4"/>
        <v>1</v>
      </c>
      <c r="AA35" t="b">
        <f t="shared" si="5"/>
        <v>0</v>
      </c>
      <c r="AB35" t="b">
        <f t="shared" si="6"/>
        <v>0</v>
      </c>
      <c r="AC35" t="b">
        <f t="shared" si="7"/>
        <v>0</v>
      </c>
      <c r="AD35" t="b">
        <f t="shared" si="8"/>
        <v>0</v>
      </c>
      <c r="AE35" t="b">
        <f t="shared" si="9"/>
        <v>0</v>
      </c>
      <c r="AF35" t="b">
        <f t="shared" si="10"/>
        <v>0</v>
      </c>
      <c r="AG35" t="b">
        <f t="shared" si="11"/>
        <v>0</v>
      </c>
      <c r="AH35" t="b">
        <f t="shared" si="12"/>
        <v>0</v>
      </c>
    </row>
    <row r="36" spans="1:34" x14ac:dyDescent="0.2">
      <c r="A36" t="s">
        <v>249</v>
      </c>
      <c r="B36" t="s">
        <v>137</v>
      </c>
      <c r="C36" t="s">
        <v>137</v>
      </c>
      <c r="D36">
        <v>1</v>
      </c>
      <c r="E36">
        <v>2</v>
      </c>
      <c r="F36">
        <v>2</v>
      </c>
      <c r="G36">
        <v>2</v>
      </c>
      <c r="H36">
        <v>2</v>
      </c>
      <c r="I36">
        <v>2</v>
      </c>
      <c r="J36">
        <v>1</v>
      </c>
      <c r="K36">
        <v>2</v>
      </c>
      <c r="L36">
        <v>1</v>
      </c>
      <c r="M36">
        <v>2</v>
      </c>
      <c r="N36">
        <v>2</v>
      </c>
      <c r="O36">
        <v>2</v>
      </c>
      <c r="P36">
        <v>2</v>
      </c>
      <c r="Q36">
        <v>10</v>
      </c>
      <c r="R36">
        <v>3</v>
      </c>
      <c r="S36">
        <v>0</v>
      </c>
      <c r="T36">
        <v>0</v>
      </c>
      <c r="V36" t="b">
        <f t="shared" si="0"/>
        <v>1</v>
      </c>
      <c r="W36" t="b">
        <f t="shared" si="1"/>
        <v>1</v>
      </c>
      <c r="X36" t="b">
        <f t="shared" si="2"/>
        <v>1</v>
      </c>
      <c r="Y36" t="b">
        <f t="shared" si="3"/>
        <v>1</v>
      </c>
      <c r="Z36" t="b">
        <f t="shared" si="4"/>
        <v>1</v>
      </c>
      <c r="AA36" t="b">
        <f t="shared" si="5"/>
        <v>1</v>
      </c>
      <c r="AB36" t="b">
        <f t="shared" si="6"/>
        <v>1</v>
      </c>
      <c r="AC36" t="b">
        <f t="shared" si="7"/>
        <v>1</v>
      </c>
      <c r="AD36" t="b">
        <f t="shared" si="8"/>
        <v>1</v>
      </c>
      <c r="AE36" t="b">
        <f t="shared" si="9"/>
        <v>1</v>
      </c>
      <c r="AF36" t="b">
        <f t="shared" si="10"/>
        <v>0</v>
      </c>
      <c r="AG36" t="b">
        <f t="shared" si="11"/>
        <v>0</v>
      </c>
      <c r="AH36" t="b">
        <f t="shared" si="12"/>
        <v>0</v>
      </c>
    </row>
    <row r="37" spans="1:34" x14ac:dyDescent="0.2">
      <c r="A37" t="s">
        <v>250</v>
      </c>
      <c r="B37" t="s">
        <v>137</v>
      </c>
      <c r="C37" t="s">
        <v>137</v>
      </c>
      <c r="D37">
        <v>2</v>
      </c>
      <c r="E37">
        <v>1</v>
      </c>
      <c r="F37">
        <v>2</v>
      </c>
      <c r="G37">
        <v>2</v>
      </c>
      <c r="H37">
        <v>2</v>
      </c>
      <c r="I37">
        <v>0</v>
      </c>
      <c r="J37">
        <v>1</v>
      </c>
      <c r="K37">
        <v>0</v>
      </c>
      <c r="L37">
        <v>1</v>
      </c>
      <c r="M37">
        <v>0</v>
      </c>
      <c r="N37">
        <v>1</v>
      </c>
      <c r="O37">
        <v>2</v>
      </c>
      <c r="P37">
        <v>0</v>
      </c>
      <c r="Q37">
        <v>5</v>
      </c>
      <c r="R37">
        <v>4</v>
      </c>
      <c r="S37">
        <v>4</v>
      </c>
      <c r="T37">
        <v>0</v>
      </c>
      <c r="V37" t="b">
        <f t="shared" si="0"/>
        <v>1</v>
      </c>
      <c r="W37" t="b">
        <f t="shared" si="1"/>
        <v>1</v>
      </c>
      <c r="X37" t="b">
        <f t="shared" si="2"/>
        <v>1</v>
      </c>
      <c r="Y37" t="b">
        <f t="shared" si="3"/>
        <v>1</v>
      </c>
      <c r="Z37" t="b">
        <f t="shared" si="4"/>
        <v>1</v>
      </c>
      <c r="AA37" t="b">
        <f t="shared" si="5"/>
        <v>0</v>
      </c>
      <c r="AB37" t="b">
        <f t="shared" si="6"/>
        <v>0</v>
      </c>
      <c r="AC37" t="b">
        <f t="shared" si="7"/>
        <v>0</v>
      </c>
      <c r="AD37" t="b">
        <f t="shared" si="8"/>
        <v>0</v>
      </c>
      <c r="AE37" t="b">
        <f t="shared" si="9"/>
        <v>0</v>
      </c>
      <c r="AF37" t="b">
        <f t="shared" si="10"/>
        <v>0</v>
      </c>
      <c r="AG37" t="b">
        <f t="shared" si="11"/>
        <v>0</v>
      </c>
      <c r="AH37" t="b">
        <f t="shared" si="12"/>
        <v>0</v>
      </c>
    </row>
    <row r="38" spans="1:34" x14ac:dyDescent="0.2">
      <c r="A38" t="s">
        <v>251</v>
      </c>
      <c r="B38" t="s">
        <v>252</v>
      </c>
      <c r="C38" t="s">
        <v>253</v>
      </c>
      <c r="E38">
        <v>1</v>
      </c>
      <c r="F38">
        <v>1</v>
      </c>
      <c r="G38">
        <v>0</v>
      </c>
      <c r="H38">
        <v>0</v>
      </c>
      <c r="I38">
        <v>0</v>
      </c>
      <c r="J38">
        <v>1</v>
      </c>
      <c r="K38">
        <v>0</v>
      </c>
      <c r="M38">
        <v>0</v>
      </c>
      <c r="N38">
        <v>0</v>
      </c>
      <c r="P38">
        <v>0</v>
      </c>
      <c r="Q38">
        <v>0</v>
      </c>
      <c r="R38">
        <v>3</v>
      </c>
      <c r="S38">
        <v>7</v>
      </c>
      <c r="T38">
        <v>3</v>
      </c>
      <c r="V38" t="b">
        <f t="shared" si="0"/>
        <v>0</v>
      </c>
      <c r="W38" t="b">
        <f t="shared" si="1"/>
        <v>0</v>
      </c>
      <c r="X38" t="b">
        <f t="shared" si="2"/>
        <v>0</v>
      </c>
      <c r="Y38" t="b">
        <f t="shared" si="3"/>
        <v>0</v>
      </c>
      <c r="Z38" t="b">
        <f t="shared" si="4"/>
        <v>0</v>
      </c>
      <c r="AA38" t="b">
        <f t="shared" si="5"/>
        <v>0</v>
      </c>
      <c r="AB38" t="b">
        <f t="shared" si="6"/>
        <v>0</v>
      </c>
      <c r="AC38" t="b">
        <f t="shared" si="7"/>
        <v>0</v>
      </c>
      <c r="AD38" t="b">
        <f t="shared" si="8"/>
        <v>0</v>
      </c>
      <c r="AE38" t="b">
        <f t="shared" si="9"/>
        <v>0</v>
      </c>
      <c r="AF38" t="b">
        <f t="shared" si="10"/>
        <v>0</v>
      </c>
      <c r="AG38" t="b">
        <f t="shared" si="11"/>
        <v>0</v>
      </c>
      <c r="AH38" t="b">
        <f t="shared" si="12"/>
        <v>0</v>
      </c>
    </row>
    <row r="39" spans="1:34" x14ac:dyDescent="0.2">
      <c r="A39" t="s">
        <v>254</v>
      </c>
      <c r="B39" t="s">
        <v>245</v>
      </c>
      <c r="C39" t="s">
        <v>245</v>
      </c>
      <c r="D39">
        <v>0</v>
      </c>
      <c r="E39">
        <v>1</v>
      </c>
      <c r="F39">
        <v>1</v>
      </c>
      <c r="G39">
        <v>2</v>
      </c>
      <c r="H39">
        <v>1</v>
      </c>
      <c r="I39">
        <v>0</v>
      </c>
      <c r="J39">
        <v>1</v>
      </c>
      <c r="K39">
        <v>0</v>
      </c>
      <c r="L39">
        <v>1</v>
      </c>
      <c r="M39">
        <v>1</v>
      </c>
      <c r="O39">
        <v>1</v>
      </c>
      <c r="P39">
        <v>0</v>
      </c>
      <c r="Q39">
        <v>1</v>
      </c>
      <c r="R39">
        <v>7</v>
      </c>
      <c r="S39">
        <v>4</v>
      </c>
      <c r="T39">
        <v>1</v>
      </c>
      <c r="V39" t="b">
        <f t="shared" si="0"/>
        <v>1</v>
      </c>
      <c r="W39" t="b">
        <f t="shared" si="1"/>
        <v>0</v>
      </c>
      <c r="X39" t="b">
        <f t="shared" si="2"/>
        <v>0</v>
      </c>
      <c r="Y39" t="b">
        <f t="shared" si="3"/>
        <v>0</v>
      </c>
      <c r="Z39" t="b">
        <f t="shared" si="4"/>
        <v>0</v>
      </c>
      <c r="AA39" t="b">
        <f t="shared" si="5"/>
        <v>0</v>
      </c>
      <c r="AB39" t="b">
        <f t="shared" si="6"/>
        <v>0</v>
      </c>
      <c r="AC39" t="b">
        <f t="shared" si="7"/>
        <v>0</v>
      </c>
      <c r="AD39" t="b">
        <f t="shared" si="8"/>
        <v>0</v>
      </c>
      <c r="AE39" t="b">
        <f t="shared" si="9"/>
        <v>0</v>
      </c>
      <c r="AF39" t="b">
        <f t="shared" si="10"/>
        <v>0</v>
      </c>
      <c r="AG39" t="b">
        <f t="shared" si="11"/>
        <v>0</v>
      </c>
      <c r="AH39" t="b">
        <f t="shared" si="12"/>
        <v>0</v>
      </c>
    </row>
    <row r="40" spans="1:34" x14ac:dyDescent="0.2">
      <c r="A40" t="s">
        <v>255</v>
      </c>
      <c r="B40" t="s">
        <v>245</v>
      </c>
      <c r="C40" t="s">
        <v>245</v>
      </c>
      <c r="D40">
        <v>0</v>
      </c>
      <c r="E40">
        <v>2</v>
      </c>
      <c r="F40">
        <v>1</v>
      </c>
      <c r="G40">
        <v>2</v>
      </c>
      <c r="H40">
        <v>1</v>
      </c>
      <c r="I40">
        <v>0</v>
      </c>
      <c r="J40">
        <v>2</v>
      </c>
      <c r="K40">
        <v>1</v>
      </c>
      <c r="L40">
        <v>1</v>
      </c>
      <c r="M40">
        <v>1</v>
      </c>
      <c r="N40">
        <v>1</v>
      </c>
      <c r="O40">
        <v>2</v>
      </c>
      <c r="P40">
        <v>0</v>
      </c>
      <c r="Q40">
        <v>4</v>
      </c>
      <c r="R40">
        <v>6</v>
      </c>
      <c r="S40">
        <v>3</v>
      </c>
      <c r="T40">
        <v>0</v>
      </c>
      <c r="V40" t="b">
        <f t="shared" si="0"/>
        <v>1</v>
      </c>
      <c r="W40" t="b">
        <f t="shared" si="1"/>
        <v>1</v>
      </c>
      <c r="X40" t="b">
        <f t="shared" si="2"/>
        <v>1</v>
      </c>
      <c r="Y40" t="b">
        <f t="shared" si="3"/>
        <v>1</v>
      </c>
      <c r="Z40" t="b">
        <f t="shared" si="4"/>
        <v>0</v>
      </c>
      <c r="AA40" t="b">
        <f t="shared" si="5"/>
        <v>0</v>
      </c>
      <c r="AB40" t="b">
        <f t="shared" si="6"/>
        <v>0</v>
      </c>
      <c r="AC40" t="b">
        <f t="shared" si="7"/>
        <v>0</v>
      </c>
      <c r="AD40" t="b">
        <f t="shared" si="8"/>
        <v>0</v>
      </c>
      <c r="AE40" t="b">
        <f t="shared" si="9"/>
        <v>0</v>
      </c>
      <c r="AF40" t="b">
        <f t="shared" si="10"/>
        <v>0</v>
      </c>
      <c r="AG40" t="b">
        <f t="shared" si="11"/>
        <v>0</v>
      </c>
      <c r="AH40" t="b">
        <f t="shared" si="12"/>
        <v>0</v>
      </c>
    </row>
    <row r="41" spans="1:34" x14ac:dyDescent="0.2">
      <c r="A41" t="s">
        <v>256</v>
      </c>
      <c r="B41" t="s">
        <v>245</v>
      </c>
      <c r="C41" t="s">
        <v>245</v>
      </c>
      <c r="D41">
        <v>1</v>
      </c>
      <c r="E41">
        <v>1</v>
      </c>
      <c r="F41">
        <v>1</v>
      </c>
      <c r="G41">
        <v>2</v>
      </c>
      <c r="H41">
        <v>1</v>
      </c>
      <c r="I41">
        <v>2</v>
      </c>
      <c r="J41">
        <v>1</v>
      </c>
      <c r="K41">
        <v>1</v>
      </c>
      <c r="L41">
        <v>1</v>
      </c>
      <c r="M41">
        <v>1</v>
      </c>
      <c r="N41">
        <v>1</v>
      </c>
      <c r="O41">
        <v>2</v>
      </c>
      <c r="P41">
        <v>0</v>
      </c>
      <c r="Q41">
        <v>3</v>
      </c>
      <c r="R41">
        <v>9</v>
      </c>
      <c r="S41">
        <v>1</v>
      </c>
      <c r="T41">
        <v>0</v>
      </c>
      <c r="V41" t="b">
        <f t="shared" si="0"/>
        <v>1</v>
      </c>
      <c r="W41" t="b">
        <f t="shared" si="1"/>
        <v>1</v>
      </c>
      <c r="X41" t="b">
        <f t="shared" si="2"/>
        <v>1</v>
      </c>
      <c r="Y41" t="b">
        <f t="shared" si="3"/>
        <v>0</v>
      </c>
      <c r="Z41" t="b">
        <f t="shared" si="4"/>
        <v>0</v>
      </c>
      <c r="AA41" t="b">
        <f t="shared" si="5"/>
        <v>0</v>
      </c>
      <c r="AB41" t="b">
        <f t="shared" si="6"/>
        <v>0</v>
      </c>
      <c r="AC41" t="b">
        <f t="shared" si="7"/>
        <v>0</v>
      </c>
      <c r="AD41" t="b">
        <f t="shared" si="8"/>
        <v>0</v>
      </c>
      <c r="AE41" t="b">
        <f t="shared" si="9"/>
        <v>0</v>
      </c>
      <c r="AF41" t="b">
        <f t="shared" si="10"/>
        <v>0</v>
      </c>
      <c r="AG41" t="b">
        <f t="shared" si="11"/>
        <v>0</v>
      </c>
      <c r="AH41" t="b">
        <f t="shared" si="12"/>
        <v>0</v>
      </c>
    </row>
    <row r="42" spans="1:34" x14ac:dyDescent="0.2">
      <c r="A42" t="s">
        <v>257</v>
      </c>
      <c r="B42" t="s">
        <v>245</v>
      </c>
      <c r="C42" t="s">
        <v>245</v>
      </c>
      <c r="D42">
        <v>0</v>
      </c>
      <c r="E42">
        <v>0</v>
      </c>
      <c r="F42">
        <v>1</v>
      </c>
      <c r="G42">
        <v>2</v>
      </c>
      <c r="H42">
        <v>0</v>
      </c>
      <c r="I42">
        <v>0</v>
      </c>
      <c r="J42">
        <v>1</v>
      </c>
      <c r="K42">
        <v>1</v>
      </c>
      <c r="L42">
        <v>1</v>
      </c>
      <c r="M42">
        <v>1</v>
      </c>
      <c r="N42">
        <v>1</v>
      </c>
      <c r="O42">
        <v>0</v>
      </c>
      <c r="P42">
        <v>0</v>
      </c>
      <c r="Q42">
        <v>1</v>
      </c>
      <c r="R42">
        <v>6</v>
      </c>
      <c r="S42">
        <v>6</v>
      </c>
      <c r="T42">
        <v>0</v>
      </c>
      <c r="V42" t="b">
        <f t="shared" si="0"/>
        <v>1</v>
      </c>
      <c r="W42" t="b">
        <f t="shared" si="1"/>
        <v>0</v>
      </c>
      <c r="X42" t="b">
        <f t="shared" si="2"/>
        <v>0</v>
      </c>
      <c r="Y42" t="b">
        <f t="shared" si="3"/>
        <v>0</v>
      </c>
      <c r="Z42" t="b">
        <f t="shared" si="4"/>
        <v>0</v>
      </c>
      <c r="AA42" t="b">
        <f t="shared" si="5"/>
        <v>0</v>
      </c>
      <c r="AB42" t="b">
        <f t="shared" si="6"/>
        <v>0</v>
      </c>
      <c r="AC42" t="b">
        <f t="shared" si="7"/>
        <v>0</v>
      </c>
      <c r="AD42" t="b">
        <f t="shared" si="8"/>
        <v>0</v>
      </c>
      <c r="AE42" t="b">
        <f t="shared" si="9"/>
        <v>0</v>
      </c>
      <c r="AF42" t="b">
        <f t="shared" si="10"/>
        <v>0</v>
      </c>
      <c r="AG42" t="b">
        <f t="shared" si="11"/>
        <v>0</v>
      </c>
      <c r="AH42" t="b">
        <f t="shared" si="12"/>
        <v>0</v>
      </c>
    </row>
    <row r="43" spans="1:34" x14ac:dyDescent="0.2">
      <c r="A43" t="s">
        <v>258</v>
      </c>
      <c r="B43" t="s">
        <v>245</v>
      </c>
      <c r="C43" t="s">
        <v>245</v>
      </c>
      <c r="D43">
        <v>0</v>
      </c>
      <c r="E43">
        <v>2</v>
      </c>
      <c r="F43">
        <v>1</v>
      </c>
      <c r="G43">
        <v>2</v>
      </c>
      <c r="H43">
        <v>1</v>
      </c>
      <c r="I43">
        <v>0</v>
      </c>
      <c r="J43">
        <v>1</v>
      </c>
      <c r="K43">
        <v>1</v>
      </c>
      <c r="M43">
        <v>1</v>
      </c>
      <c r="N43">
        <v>1</v>
      </c>
      <c r="O43">
        <v>0</v>
      </c>
      <c r="P43">
        <v>0</v>
      </c>
      <c r="Q43">
        <v>2</v>
      </c>
      <c r="R43">
        <v>6</v>
      </c>
      <c r="S43">
        <v>4</v>
      </c>
      <c r="T43">
        <v>1</v>
      </c>
      <c r="V43" t="b">
        <f t="shared" si="0"/>
        <v>1</v>
      </c>
      <c r="W43" t="b">
        <f t="shared" si="1"/>
        <v>1</v>
      </c>
      <c r="X43" t="b">
        <f t="shared" si="2"/>
        <v>0</v>
      </c>
      <c r="Y43" t="b">
        <f t="shared" si="3"/>
        <v>0</v>
      </c>
      <c r="Z43" t="b">
        <f t="shared" si="4"/>
        <v>0</v>
      </c>
      <c r="AA43" t="b">
        <f t="shared" si="5"/>
        <v>0</v>
      </c>
      <c r="AB43" t="b">
        <f t="shared" si="6"/>
        <v>0</v>
      </c>
      <c r="AC43" t="b">
        <f t="shared" si="7"/>
        <v>0</v>
      </c>
      <c r="AD43" t="b">
        <f t="shared" si="8"/>
        <v>0</v>
      </c>
      <c r="AE43" t="b">
        <f t="shared" si="9"/>
        <v>0</v>
      </c>
      <c r="AF43" t="b">
        <f t="shared" si="10"/>
        <v>0</v>
      </c>
      <c r="AG43" t="b">
        <f t="shared" si="11"/>
        <v>0</v>
      </c>
      <c r="AH43" t="b">
        <f t="shared" si="12"/>
        <v>0</v>
      </c>
    </row>
    <row r="44" spans="1:34" x14ac:dyDescent="0.2">
      <c r="A44" t="s">
        <v>259</v>
      </c>
      <c r="B44" t="s">
        <v>245</v>
      </c>
      <c r="C44" t="s">
        <v>245</v>
      </c>
      <c r="D44">
        <v>0</v>
      </c>
      <c r="E44">
        <v>2</v>
      </c>
      <c r="F44">
        <v>1</v>
      </c>
      <c r="G44">
        <v>2</v>
      </c>
      <c r="H44">
        <v>1</v>
      </c>
      <c r="I44">
        <v>2</v>
      </c>
      <c r="J44">
        <v>1</v>
      </c>
      <c r="K44">
        <v>1</v>
      </c>
      <c r="L44">
        <v>1</v>
      </c>
      <c r="M44">
        <v>1</v>
      </c>
      <c r="N44">
        <v>0</v>
      </c>
      <c r="O44">
        <v>2</v>
      </c>
      <c r="P44">
        <v>0</v>
      </c>
      <c r="Q44">
        <v>4</v>
      </c>
      <c r="R44">
        <v>6</v>
      </c>
      <c r="S44">
        <v>3</v>
      </c>
      <c r="T44">
        <v>0</v>
      </c>
      <c r="V44" t="b">
        <f t="shared" si="0"/>
        <v>1</v>
      </c>
      <c r="W44" t="b">
        <f t="shared" si="1"/>
        <v>1</v>
      </c>
      <c r="X44" t="b">
        <f t="shared" si="2"/>
        <v>1</v>
      </c>
      <c r="Y44" t="b">
        <f t="shared" si="3"/>
        <v>1</v>
      </c>
      <c r="Z44" t="b">
        <f t="shared" si="4"/>
        <v>0</v>
      </c>
      <c r="AA44" t="b">
        <f t="shared" si="5"/>
        <v>0</v>
      </c>
      <c r="AB44" t="b">
        <f t="shared" si="6"/>
        <v>0</v>
      </c>
      <c r="AC44" t="b">
        <f t="shared" si="7"/>
        <v>0</v>
      </c>
      <c r="AD44" t="b">
        <f t="shared" si="8"/>
        <v>0</v>
      </c>
      <c r="AE44" t="b">
        <f t="shared" si="9"/>
        <v>0</v>
      </c>
      <c r="AF44" t="b">
        <f t="shared" si="10"/>
        <v>0</v>
      </c>
      <c r="AG44" t="b">
        <f t="shared" si="11"/>
        <v>0</v>
      </c>
      <c r="AH44" t="b">
        <f t="shared" si="12"/>
        <v>0</v>
      </c>
    </row>
    <row r="45" spans="1:34" x14ac:dyDescent="0.2">
      <c r="A45" t="s">
        <v>260</v>
      </c>
      <c r="B45" t="s">
        <v>245</v>
      </c>
      <c r="C45" t="s">
        <v>245</v>
      </c>
      <c r="D45">
        <v>0</v>
      </c>
      <c r="E45">
        <v>2</v>
      </c>
      <c r="F45">
        <v>1</v>
      </c>
      <c r="G45">
        <v>2</v>
      </c>
      <c r="H45">
        <v>1</v>
      </c>
      <c r="I45">
        <v>0</v>
      </c>
      <c r="J45">
        <v>1</v>
      </c>
      <c r="K45">
        <v>1</v>
      </c>
      <c r="L45">
        <v>1</v>
      </c>
      <c r="M45">
        <v>1</v>
      </c>
      <c r="N45">
        <v>1</v>
      </c>
      <c r="O45">
        <v>2</v>
      </c>
      <c r="P45">
        <v>0</v>
      </c>
      <c r="Q45">
        <v>3</v>
      </c>
      <c r="R45">
        <v>7</v>
      </c>
      <c r="S45">
        <v>3</v>
      </c>
      <c r="T45">
        <v>0</v>
      </c>
      <c r="V45" t="b">
        <f t="shared" si="0"/>
        <v>1</v>
      </c>
      <c r="W45" t="b">
        <f t="shared" si="1"/>
        <v>1</v>
      </c>
      <c r="X45" t="b">
        <f t="shared" si="2"/>
        <v>1</v>
      </c>
      <c r="Y45" t="b">
        <f t="shared" si="3"/>
        <v>0</v>
      </c>
      <c r="Z45" t="b">
        <f t="shared" si="4"/>
        <v>0</v>
      </c>
      <c r="AA45" t="b">
        <f t="shared" si="5"/>
        <v>0</v>
      </c>
      <c r="AB45" t="b">
        <f t="shared" si="6"/>
        <v>0</v>
      </c>
      <c r="AC45" t="b">
        <f t="shared" si="7"/>
        <v>0</v>
      </c>
      <c r="AD45" t="b">
        <f t="shared" si="8"/>
        <v>0</v>
      </c>
      <c r="AE45" t="b">
        <f t="shared" si="9"/>
        <v>0</v>
      </c>
      <c r="AF45" t="b">
        <f t="shared" si="10"/>
        <v>0</v>
      </c>
      <c r="AG45" t="b">
        <f t="shared" si="11"/>
        <v>0</v>
      </c>
      <c r="AH45" t="b">
        <f t="shared" si="12"/>
        <v>0</v>
      </c>
    </row>
    <row r="46" spans="1:34" x14ac:dyDescent="0.2">
      <c r="A46" t="s">
        <v>261</v>
      </c>
      <c r="B46" t="s">
        <v>245</v>
      </c>
      <c r="C46" t="s">
        <v>245</v>
      </c>
      <c r="D46">
        <v>0</v>
      </c>
      <c r="E46">
        <v>2</v>
      </c>
      <c r="F46">
        <v>1</v>
      </c>
      <c r="G46">
        <v>2</v>
      </c>
      <c r="H46">
        <v>2</v>
      </c>
      <c r="I46">
        <v>0</v>
      </c>
      <c r="J46">
        <v>1</v>
      </c>
      <c r="K46">
        <v>1</v>
      </c>
      <c r="L46">
        <v>1</v>
      </c>
      <c r="M46">
        <v>1</v>
      </c>
      <c r="O46">
        <v>2</v>
      </c>
      <c r="P46">
        <v>0</v>
      </c>
      <c r="Q46">
        <v>4</v>
      </c>
      <c r="R46">
        <v>5</v>
      </c>
      <c r="S46">
        <v>3</v>
      </c>
      <c r="T46">
        <v>1</v>
      </c>
      <c r="V46" t="b">
        <f t="shared" si="0"/>
        <v>1</v>
      </c>
      <c r="W46" t="b">
        <f t="shared" si="1"/>
        <v>1</v>
      </c>
      <c r="X46" t="b">
        <f t="shared" si="2"/>
        <v>1</v>
      </c>
      <c r="Y46" t="b">
        <f t="shared" si="3"/>
        <v>1</v>
      </c>
      <c r="Z46" t="b">
        <f t="shared" si="4"/>
        <v>0</v>
      </c>
      <c r="AA46" t="b">
        <f t="shared" si="5"/>
        <v>0</v>
      </c>
      <c r="AB46" t="b">
        <f t="shared" si="6"/>
        <v>0</v>
      </c>
      <c r="AC46" t="b">
        <f t="shared" si="7"/>
        <v>0</v>
      </c>
      <c r="AD46" t="b">
        <f t="shared" si="8"/>
        <v>0</v>
      </c>
      <c r="AE46" t="b">
        <f t="shared" si="9"/>
        <v>0</v>
      </c>
      <c r="AF46" t="b">
        <f t="shared" si="10"/>
        <v>0</v>
      </c>
      <c r="AG46" t="b">
        <f t="shared" si="11"/>
        <v>0</v>
      </c>
      <c r="AH46" t="b">
        <f t="shared" si="12"/>
        <v>0</v>
      </c>
    </row>
    <row r="47" spans="1:34" x14ac:dyDescent="0.2">
      <c r="A47" t="s">
        <v>262</v>
      </c>
      <c r="B47" t="s">
        <v>263</v>
      </c>
      <c r="C47" t="s">
        <v>39</v>
      </c>
      <c r="D47">
        <v>1</v>
      </c>
      <c r="E47">
        <v>0</v>
      </c>
      <c r="F47">
        <v>2</v>
      </c>
      <c r="G47">
        <v>2</v>
      </c>
      <c r="H47">
        <v>2</v>
      </c>
      <c r="I47">
        <v>0</v>
      </c>
      <c r="J47">
        <v>2</v>
      </c>
      <c r="K47">
        <v>2</v>
      </c>
      <c r="L47">
        <v>1</v>
      </c>
      <c r="M47">
        <v>2</v>
      </c>
      <c r="N47">
        <v>2</v>
      </c>
      <c r="O47">
        <v>2</v>
      </c>
      <c r="P47">
        <v>0</v>
      </c>
      <c r="Q47">
        <v>8</v>
      </c>
      <c r="R47">
        <v>2</v>
      </c>
      <c r="S47">
        <v>3</v>
      </c>
      <c r="T47">
        <v>0</v>
      </c>
      <c r="V47" t="b">
        <f t="shared" si="0"/>
        <v>1</v>
      </c>
      <c r="W47" t="b">
        <f t="shared" si="1"/>
        <v>1</v>
      </c>
      <c r="X47" t="b">
        <f t="shared" si="2"/>
        <v>1</v>
      </c>
      <c r="Y47" t="b">
        <f t="shared" si="3"/>
        <v>1</v>
      </c>
      <c r="Z47" t="b">
        <f t="shared" si="4"/>
        <v>1</v>
      </c>
      <c r="AA47" t="b">
        <f t="shared" si="5"/>
        <v>1</v>
      </c>
      <c r="AB47" t="b">
        <f t="shared" si="6"/>
        <v>1</v>
      </c>
      <c r="AC47" t="b">
        <f t="shared" si="7"/>
        <v>1</v>
      </c>
      <c r="AD47" t="b">
        <f t="shared" si="8"/>
        <v>0</v>
      </c>
      <c r="AE47" t="b">
        <f t="shared" si="9"/>
        <v>0</v>
      </c>
      <c r="AF47" t="b">
        <f t="shared" si="10"/>
        <v>0</v>
      </c>
      <c r="AG47" t="b">
        <f t="shared" si="11"/>
        <v>0</v>
      </c>
      <c r="AH47" t="b">
        <f t="shared" si="12"/>
        <v>0</v>
      </c>
    </row>
    <row r="48" spans="1:34" x14ac:dyDescent="0.2">
      <c r="A48" t="s">
        <v>264</v>
      </c>
      <c r="B48" t="s">
        <v>263</v>
      </c>
      <c r="C48" t="s">
        <v>39</v>
      </c>
      <c r="D48">
        <v>1</v>
      </c>
      <c r="E48">
        <v>0</v>
      </c>
      <c r="F48">
        <v>2</v>
      </c>
      <c r="G48">
        <v>2</v>
      </c>
      <c r="H48">
        <v>2</v>
      </c>
      <c r="I48">
        <v>0</v>
      </c>
      <c r="J48">
        <v>2</v>
      </c>
      <c r="K48">
        <v>2</v>
      </c>
      <c r="L48">
        <v>1</v>
      </c>
      <c r="M48">
        <v>0</v>
      </c>
      <c r="N48">
        <v>0</v>
      </c>
      <c r="O48">
        <v>2</v>
      </c>
      <c r="P48">
        <v>0</v>
      </c>
      <c r="Q48">
        <v>6</v>
      </c>
      <c r="R48">
        <v>2</v>
      </c>
      <c r="S48">
        <v>5</v>
      </c>
      <c r="T48">
        <v>0</v>
      </c>
      <c r="V48" t="b">
        <f t="shared" si="0"/>
        <v>1</v>
      </c>
      <c r="W48" t="b">
        <f t="shared" si="1"/>
        <v>1</v>
      </c>
      <c r="X48" t="b">
        <f t="shared" si="2"/>
        <v>1</v>
      </c>
      <c r="Y48" t="b">
        <f t="shared" si="3"/>
        <v>1</v>
      </c>
      <c r="Z48" t="b">
        <f t="shared" si="4"/>
        <v>1</v>
      </c>
      <c r="AA48" t="b">
        <f t="shared" si="5"/>
        <v>1</v>
      </c>
      <c r="AB48" t="b">
        <f t="shared" si="6"/>
        <v>0</v>
      </c>
      <c r="AC48" t="b">
        <f t="shared" si="7"/>
        <v>0</v>
      </c>
      <c r="AD48" t="b">
        <f t="shared" si="8"/>
        <v>0</v>
      </c>
      <c r="AE48" t="b">
        <f t="shared" si="9"/>
        <v>0</v>
      </c>
      <c r="AF48" t="b">
        <f t="shared" si="10"/>
        <v>0</v>
      </c>
      <c r="AG48" t="b">
        <f t="shared" si="11"/>
        <v>0</v>
      </c>
      <c r="AH48" t="b">
        <f t="shared" si="12"/>
        <v>0</v>
      </c>
    </row>
    <row r="49" spans="1:34" x14ac:dyDescent="0.2">
      <c r="A49" t="s">
        <v>265</v>
      </c>
      <c r="B49" t="s">
        <v>266</v>
      </c>
      <c r="C49" t="s">
        <v>266</v>
      </c>
      <c r="D49">
        <v>0</v>
      </c>
      <c r="E49">
        <v>1</v>
      </c>
      <c r="F49">
        <v>2</v>
      </c>
      <c r="G49">
        <v>0</v>
      </c>
      <c r="H49">
        <v>0</v>
      </c>
      <c r="I49">
        <v>0</v>
      </c>
      <c r="J49">
        <v>1</v>
      </c>
      <c r="K49">
        <v>1</v>
      </c>
      <c r="L49">
        <v>1</v>
      </c>
      <c r="M49">
        <v>0</v>
      </c>
      <c r="P49">
        <v>0</v>
      </c>
      <c r="Q49">
        <v>1</v>
      </c>
      <c r="R49">
        <v>4</v>
      </c>
      <c r="S49">
        <v>6</v>
      </c>
      <c r="T49">
        <v>2</v>
      </c>
      <c r="V49" t="b">
        <f t="shared" si="0"/>
        <v>1</v>
      </c>
      <c r="W49" t="b">
        <f t="shared" si="1"/>
        <v>0</v>
      </c>
      <c r="X49" t="b">
        <f t="shared" si="2"/>
        <v>0</v>
      </c>
      <c r="Y49" t="b">
        <f t="shared" si="3"/>
        <v>0</v>
      </c>
      <c r="Z49" t="b">
        <f t="shared" si="4"/>
        <v>0</v>
      </c>
      <c r="AA49" t="b">
        <f t="shared" si="5"/>
        <v>0</v>
      </c>
      <c r="AB49" t="b">
        <f t="shared" si="6"/>
        <v>0</v>
      </c>
      <c r="AC49" t="b">
        <f t="shared" si="7"/>
        <v>0</v>
      </c>
      <c r="AD49" t="b">
        <f t="shared" si="8"/>
        <v>0</v>
      </c>
      <c r="AE49" t="b">
        <f t="shared" si="9"/>
        <v>0</v>
      </c>
      <c r="AF49" t="b">
        <f t="shared" si="10"/>
        <v>0</v>
      </c>
      <c r="AG49" t="b">
        <f t="shared" si="11"/>
        <v>0</v>
      </c>
      <c r="AH49" t="b">
        <f t="shared" si="12"/>
        <v>0</v>
      </c>
    </row>
    <row r="50" spans="1:34" x14ac:dyDescent="0.2">
      <c r="A50" t="s">
        <v>57</v>
      </c>
      <c r="B50" t="s">
        <v>266</v>
      </c>
      <c r="C50" t="s">
        <v>266</v>
      </c>
      <c r="D50">
        <v>0</v>
      </c>
      <c r="E50">
        <v>2</v>
      </c>
      <c r="F50">
        <v>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1</v>
      </c>
      <c r="R50">
        <v>1</v>
      </c>
      <c r="S50">
        <v>11</v>
      </c>
      <c r="T50">
        <v>0</v>
      </c>
      <c r="V50" t="b">
        <f t="shared" si="0"/>
        <v>1</v>
      </c>
      <c r="W50" t="b">
        <f t="shared" si="1"/>
        <v>0</v>
      </c>
      <c r="X50" t="b">
        <f t="shared" si="2"/>
        <v>0</v>
      </c>
      <c r="Y50" t="b">
        <f t="shared" si="3"/>
        <v>0</v>
      </c>
      <c r="Z50" t="b">
        <f t="shared" si="4"/>
        <v>0</v>
      </c>
      <c r="AA50" t="b">
        <f t="shared" si="5"/>
        <v>0</v>
      </c>
      <c r="AB50" t="b">
        <f t="shared" si="6"/>
        <v>0</v>
      </c>
      <c r="AC50" t="b">
        <f t="shared" si="7"/>
        <v>0</v>
      </c>
      <c r="AD50" t="b">
        <f t="shared" si="8"/>
        <v>0</v>
      </c>
      <c r="AE50" t="b">
        <f t="shared" si="9"/>
        <v>0</v>
      </c>
      <c r="AF50" t="b">
        <f t="shared" si="10"/>
        <v>0</v>
      </c>
      <c r="AG50" t="b">
        <f t="shared" si="11"/>
        <v>0</v>
      </c>
      <c r="AH50" t="b">
        <f t="shared" si="12"/>
        <v>0</v>
      </c>
    </row>
    <row r="51" spans="1:34" x14ac:dyDescent="0.2">
      <c r="A51" t="s">
        <v>267</v>
      </c>
      <c r="B51" t="s">
        <v>146</v>
      </c>
      <c r="C51" t="s">
        <v>146</v>
      </c>
      <c r="D51">
        <v>2</v>
      </c>
      <c r="E51">
        <v>2</v>
      </c>
      <c r="F51">
        <v>2</v>
      </c>
      <c r="G51">
        <v>2</v>
      </c>
      <c r="H51">
        <v>2</v>
      </c>
      <c r="I51">
        <v>0</v>
      </c>
      <c r="J51">
        <v>1</v>
      </c>
      <c r="K51">
        <v>0</v>
      </c>
      <c r="L51">
        <v>1</v>
      </c>
      <c r="M51">
        <v>2</v>
      </c>
      <c r="N51">
        <v>2</v>
      </c>
      <c r="O51">
        <v>2</v>
      </c>
      <c r="P51">
        <v>2</v>
      </c>
      <c r="Q51">
        <v>9</v>
      </c>
      <c r="R51">
        <v>2</v>
      </c>
      <c r="S51">
        <v>2</v>
      </c>
      <c r="T51">
        <v>0</v>
      </c>
      <c r="V51" t="b">
        <f t="shared" si="0"/>
        <v>1</v>
      </c>
      <c r="W51" t="b">
        <f t="shared" si="1"/>
        <v>1</v>
      </c>
      <c r="X51" t="b">
        <f t="shared" si="2"/>
        <v>1</v>
      </c>
      <c r="Y51" t="b">
        <f t="shared" si="3"/>
        <v>1</v>
      </c>
      <c r="Z51" t="b">
        <f t="shared" si="4"/>
        <v>1</v>
      </c>
      <c r="AA51" t="b">
        <f t="shared" si="5"/>
        <v>1</v>
      </c>
      <c r="AB51" t="b">
        <f t="shared" si="6"/>
        <v>1</v>
      </c>
      <c r="AC51" t="b">
        <f t="shared" si="7"/>
        <v>1</v>
      </c>
      <c r="AD51" t="b">
        <f t="shared" si="8"/>
        <v>1</v>
      </c>
      <c r="AE51" t="b">
        <f t="shared" si="9"/>
        <v>0</v>
      </c>
      <c r="AF51" t="b">
        <f t="shared" si="10"/>
        <v>0</v>
      </c>
      <c r="AG51" t="b">
        <f t="shared" si="11"/>
        <v>0</v>
      </c>
      <c r="AH51" t="b">
        <f t="shared" si="12"/>
        <v>0</v>
      </c>
    </row>
    <row r="52" spans="1:34" x14ac:dyDescent="0.2">
      <c r="A52" t="s">
        <v>68</v>
      </c>
      <c r="B52" t="s">
        <v>69</v>
      </c>
      <c r="C52" t="s">
        <v>69</v>
      </c>
      <c r="D52">
        <v>2</v>
      </c>
      <c r="E52">
        <v>2</v>
      </c>
      <c r="F52">
        <v>2</v>
      </c>
      <c r="G52">
        <v>2</v>
      </c>
      <c r="H52">
        <v>1</v>
      </c>
      <c r="I52">
        <v>0</v>
      </c>
      <c r="J52">
        <v>2</v>
      </c>
      <c r="K52">
        <v>2</v>
      </c>
      <c r="M52">
        <v>2</v>
      </c>
      <c r="N52">
        <v>2</v>
      </c>
      <c r="O52">
        <v>2</v>
      </c>
      <c r="P52">
        <v>2</v>
      </c>
      <c r="Q52">
        <v>10</v>
      </c>
      <c r="R52">
        <v>1</v>
      </c>
      <c r="S52">
        <v>1</v>
      </c>
      <c r="T52">
        <v>1</v>
      </c>
      <c r="V52" t="b">
        <f t="shared" si="0"/>
        <v>1</v>
      </c>
      <c r="W52" t="b">
        <f t="shared" si="1"/>
        <v>1</v>
      </c>
      <c r="X52" t="b">
        <f t="shared" si="2"/>
        <v>1</v>
      </c>
      <c r="Y52" t="b">
        <f t="shared" si="3"/>
        <v>1</v>
      </c>
      <c r="Z52" t="b">
        <f t="shared" si="4"/>
        <v>1</v>
      </c>
      <c r="AA52" t="b">
        <f t="shared" si="5"/>
        <v>1</v>
      </c>
      <c r="AB52" t="b">
        <f t="shared" si="6"/>
        <v>1</v>
      </c>
      <c r="AC52" t="b">
        <f t="shared" si="7"/>
        <v>1</v>
      </c>
      <c r="AD52" t="b">
        <f t="shared" si="8"/>
        <v>1</v>
      </c>
      <c r="AE52" t="b">
        <f t="shared" si="9"/>
        <v>1</v>
      </c>
      <c r="AF52" t="b">
        <f t="shared" si="10"/>
        <v>0</v>
      </c>
      <c r="AG52" t="b">
        <f t="shared" si="11"/>
        <v>0</v>
      </c>
      <c r="AH52" t="b">
        <f t="shared" si="12"/>
        <v>0</v>
      </c>
    </row>
    <row r="53" spans="1:34" x14ac:dyDescent="0.2">
      <c r="A53" t="s">
        <v>268</v>
      </c>
      <c r="B53" t="s">
        <v>71</v>
      </c>
      <c r="C53" t="s">
        <v>39</v>
      </c>
      <c r="E53">
        <v>0</v>
      </c>
      <c r="F53">
        <v>2</v>
      </c>
      <c r="G53">
        <v>2</v>
      </c>
      <c r="H53">
        <v>0</v>
      </c>
      <c r="I53">
        <v>0</v>
      </c>
      <c r="J53">
        <v>1</v>
      </c>
      <c r="K53">
        <v>1</v>
      </c>
      <c r="L53">
        <v>1</v>
      </c>
      <c r="M53">
        <v>1</v>
      </c>
      <c r="O53">
        <v>2</v>
      </c>
      <c r="P53">
        <v>0</v>
      </c>
      <c r="Q53">
        <v>3</v>
      </c>
      <c r="R53">
        <v>4</v>
      </c>
      <c r="S53">
        <v>4</v>
      </c>
      <c r="T53">
        <v>2</v>
      </c>
      <c r="V53" t="b">
        <f t="shared" si="0"/>
        <v>1</v>
      </c>
      <c r="W53" t="b">
        <f t="shared" si="1"/>
        <v>1</v>
      </c>
      <c r="X53" t="b">
        <f t="shared" si="2"/>
        <v>1</v>
      </c>
      <c r="Y53" t="b">
        <f t="shared" si="3"/>
        <v>0</v>
      </c>
      <c r="Z53" t="b">
        <f t="shared" si="4"/>
        <v>0</v>
      </c>
      <c r="AA53" t="b">
        <f t="shared" si="5"/>
        <v>0</v>
      </c>
      <c r="AB53" t="b">
        <f t="shared" si="6"/>
        <v>0</v>
      </c>
      <c r="AC53" t="b">
        <f t="shared" si="7"/>
        <v>0</v>
      </c>
      <c r="AD53" t="b">
        <f t="shared" si="8"/>
        <v>0</v>
      </c>
      <c r="AE53" t="b">
        <f t="shared" si="9"/>
        <v>0</v>
      </c>
      <c r="AF53" t="b">
        <f t="shared" si="10"/>
        <v>0</v>
      </c>
      <c r="AG53" t="b">
        <f t="shared" si="11"/>
        <v>0</v>
      </c>
      <c r="AH53" t="b">
        <f t="shared" si="12"/>
        <v>0</v>
      </c>
    </row>
    <row r="54" spans="1:34" x14ac:dyDescent="0.2">
      <c r="A54" t="s">
        <v>269</v>
      </c>
      <c r="B54" t="s">
        <v>71</v>
      </c>
      <c r="C54" t="s">
        <v>39</v>
      </c>
      <c r="D54">
        <v>2</v>
      </c>
      <c r="E54">
        <v>2</v>
      </c>
      <c r="F54">
        <v>2</v>
      </c>
      <c r="G54">
        <v>2</v>
      </c>
      <c r="H54">
        <v>2</v>
      </c>
      <c r="I54">
        <v>1</v>
      </c>
      <c r="J54">
        <v>2</v>
      </c>
      <c r="K54">
        <v>2</v>
      </c>
      <c r="L54">
        <v>1</v>
      </c>
      <c r="M54">
        <v>2</v>
      </c>
      <c r="N54">
        <v>2</v>
      </c>
      <c r="O54">
        <v>2</v>
      </c>
      <c r="P54">
        <v>2</v>
      </c>
      <c r="Q54">
        <v>11</v>
      </c>
      <c r="R54">
        <v>2</v>
      </c>
      <c r="S54">
        <v>0</v>
      </c>
      <c r="T54">
        <v>0</v>
      </c>
      <c r="V54" t="b">
        <f t="shared" si="0"/>
        <v>1</v>
      </c>
      <c r="W54" t="b">
        <f t="shared" si="1"/>
        <v>1</v>
      </c>
      <c r="X54" t="b">
        <f t="shared" si="2"/>
        <v>1</v>
      </c>
      <c r="Y54" t="b">
        <f t="shared" si="3"/>
        <v>1</v>
      </c>
      <c r="Z54" t="b">
        <f t="shared" si="4"/>
        <v>1</v>
      </c>
      <c r="AA54" t="b">
        <f t="shared" si="5"/>
        <v>1</v>
      </c>
      <c r="AB54" t="b">
        <f t="shared" si="6"/>
        <v>1</v>
      </c>
      <c r="AC54" t="b">
        <f t="shared" si="7"/>
        <v>1</v>
      </c>
      <c r="AD54" t="b">
        <f t="shared" si="8"/>
        <v>1</v>
      </c>
      <c r="AE54" t="b">
        <f t="shared" si="9"/>
        <v>1</v>
      </c>
      <c r="AF54" t="b">
        <f t="shared" si="10"/>
        <v>1</v>
      </c>
      <c r="AG54" t="b">
        <f t="shared" si="11"/>
        <v>0</v>
      </c>
      <c r="AH54" t="b">
        <f t="shared" si="12"/>
        <v>0</v>
      </c>
    </row>
    <row r="55" spans="1:34" x14ac:dyDescent="0.2">
      <c r="A55" t="s">
        <v>72</v>
      </c>
      <c r="B55" t="s">
        <v>71</v>
      </c>
      <c r="C55" t="s">
        <v>39</v>
      </c>
      <c r="D55">
        <v>2</v>
      </c>
      <c r="E55">
        <v>1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1</v>
      </c>
      <c r="M55">
        <v>2</v>
      </c>
      <c r="N55">
        <v>2</v>
      </c>
      <c r="O55">
        <v>2</v>
      </c>
      <c r="P55">
        <v>2</v>
      </c>
      <c r="Q55">
        <v>11</v>
      </c>
      <c r="R55">
        <v>2</v>
      </c>
      <c r="S55">
        <v>0</v>
      </c>
      <c r="T55">
        <v>0</v>
      </c>
      <c r="V55" t="b">
        <f t="shared" si="0"/>
        <v>1</v>
      </c>
      <c r="W55" t="b">
        <f t="shared" si="1"/>
        <v>1</v>
      </c>
      <c r="X55" t="b">
        <f t="shared" si="2"/>
        <v>1</v>
      </c>
      <c r="Y55" t="b">
        <f t="shared" si="3"/>
        <v>1</v>
      </c>
      <c r="Z55" t="b">
        <f t="shared" si="4"/>
        <v>1</v>
      </c>
      <c r="AA55" t="b">
        <f t="shared" si="5"/>
        <v>1</v>
      </c>
      <c r="AB55" t="b">
        <f t="shared" si="6"/>
        <v>1</v>
      </c>
      <c r="AC55" t="b">
        <f t="shared" si="7"/>
        <v>1</v>
      </c>
      <c r="AD55" t="b">
        <f t="shared" si="8"/>
        <v>1</v>
      </c>
      <c r="AE55" t="b">
        <f t="shared" si="9"/>
        <v>1</v>
      </c>
      <c r="AF55" t="b">
        <f t="shared" si="10"/>
        <v>1</v>
      </c>
      <c r="AG55" t="b">
        <f t="shared" si="11"/>
        <v>0</v>
      </c>
      <c r="AH55" t="b">
        <f t="shared" si="12"/>
        <v>0</v>
      </c>
    </row>
    <row r="56" spans="1:34" x14ac:dyDescent="0.2">
      <c r="A56" t="s">
        <v>270</v>
      </c>
      <c r="B56" t="s">
        <v>71</v>
      </c>
      <c r="C56" t="s">
        <v>39</v>
      </c>
      <c r="D56">
        <v>1</v>
      </c>
      <c r="E56">
        <v>1</v>
      </c>
      <c r="F56">
        <v>2</v>
      </c>
      <c r="G56">
        <v>2</v>
      </c>
      <c r="H56">
        <v>1</v>
      </c>
      <c r="I56">
        <v>2</v>
      </c>
      <c r="J56">
        <v>1</v>
      </c>
      <c r="K56">
        <v>1</v>
      </c>
      <c r="L56">
        <v>1</v>
      </c>
      <c r="M56">
        <v>2</v>
      </c>
      <c r="O56">
        <v>2</v>
      </c>
      <c r="P56">
        <v>0</v>
      </c>
      <c r="Q56">
        <v>5</v>
      </c>
      <c r="R56">
        <v>6</v>
      </c>
      <c r="S56">
        <v>1</v>
      </c>
      <c r="T56">
        <v>1</v>
      </c>
      <c r="V56" t="b">
        <f t="shared" si="0"/>
        <v>1</v>
      </c>
      <c r="W56" t="b">
        <f t="shared" si="1"/>
        <v>1</v>
      </c>
      <c r="X56" t="b">
        <f t="shared" si="2"/>
        <v>1</v>
      </c>
      <c r="Y56" t="b">
        <f t="shared" si="3"/>
        <v>1</v>
      </c>
      <c r="Z56" t="b">
        <f t="shared" si="4"/>
        <v>1</v>
      </c>
      <c r="AA56" t="b">
        <f t="shared" si="5"/>
        <v>0</v>
      </c>
      <c r="AB56" t="b">
        <f t="shared" si="6"/>
        <v>0</v>
      </c>
      <c r="AC56" t="b">
        <f t="shared" si="7"/>
        <v>0</v>
      </c>
      <c r="AD56" t="b">
        <f t="shared" si="8"/>
        <v>0</v>
      </c>
      <c r="AE56" t="b">
        <f t="shared" si="9"/>
        <v>0</v>
      </c>
      <c r="AF56" t="b">
        <f t="shared" si="10"/>
        <v>0</v>
      </c>
      <c r="AG56" t="b">
        <f t="shared" si="11"/>
        <v>0</v>
      </c>
      <c r="AH56" t="b">
        <f t="shared" si="12"/>
        <v>0</v>
      </c>
    </row>
    <row r="57" spans="1:34" x14ac:dyDescent="0.2">
      <c r="A57" t="s">
        <v>70</v>
      </c>
      <c r="B57" t="s">
        <v>71</v>
      </c>
      <c r="C57" t="s">
        <v>39</v>
      </c>
      <c r="D57">
        <v>0</v>
      </c>
      <c r="E57">
        <v>2</v>
      </c>
      <c r="F57">
        <v>2</v>
      </c>
      <c r="G57">
        <v>1</v>
      </c>
      <c r="H57">
        <v>0</v>
      </c>
      <c r="I57">
        <v>0</v>
      </c>
      <c r="J57">
        <v>2</v>
      </c>
      <c r="K57">
        <v>0</v>
      </c>
      <c r="L57">
        <v>0</v>
      </c>
      <c r="M57">
        <v>0</v>
      </c>
      <c r="N57">
        <v>0</v>
      </c>
      <c r="O57">
        <v>2</v>
      </c>
      <c r="P57">
        <v>0</v>
      </c>
      <c r="Q57">
        <v>4</v>
      </c>
      <c r="R57">
        <v>1</v>
      </c>
      <c r="S57">
        <v>8</v>
      </c>
      <c r="T57">
        <v>0</v>
      </c>
      <c r="V57" t="b">
        <f t="shared" si="0"/>
        <v>1</v>
      </c>
      <c r="W57" t="b">
        <f t="shared" si="1"/>
        <v>1</v>
      </c>
      <c r="X57" t="b">
        <f t="shared" si="2"/>
        <v>1</v>
      </c>
      <c r="Y57" t="b">
        <f t="shared" si="3"/>
        <v>1</v>
      </c>
      <c r="Z57" t="b">
        <f t="shared" si="4"/>
        <v>0</v>
      </c>
      <c r="AA57" t="b">
        <f t="shared" si="5"/>
        <v>0</v>
      </c>
      <c r="AB57" t="b">
        <f t="shared" si="6"/>
        <v>0</v>
      </c>
      <c r="AC57" t="b">
        <f t="shared" si="7"/>
        <v>0</v>
      </c>
      <c r="AD57" t="b">
        <f t="shared" si="8"/>
        <v>0</v>
      </c>
      <c r="AE57" t="b">
        <f t="shared" si="9"/>
        <v>0</v>
      </c>
      <c r="AF57" t="b">
        <f t="shared" si="10"/>
        <v>0</v>
      </c>
      <c r="AG57" t="b">
        <f t="shared" si="11"/>
        <v>0</v>
      </c>
      <c r="AH57" t="b">
        <f t="shared" si="12"/>
        <v>0</v>
      </c>
    </row>
    <row r="58" spans="1:34" x14ac:dyDescent="0.2">
      <c r="A58" t="s">
        <v>271</v>
      </c>
      <c r="B58" t="s">
        <v>151</v>
      </c>
      <c r="C58" t="s">
        <v>151</v>
      </c>
      <c r="D58">
        <v>0</v>
      </c>
      <c r="E58">
        <v>2</v>
      </c>
      <c r="F58">
        <v>1</v>
      </c>
      <c r="G58">
        <v>1</v>
      </c>
      <c r="H58">
        <v>1</v>
      </c>
      <c r="I58">
        <v>0</v>
      </c>
      <c r="J58">
        <v>1</v>
      </c>
      <c r="K58">
        <v>0</v>
      </c>
      <c r="L58">
        <v>1</v>
      </c>
      <c r="M58">
        <v>1</v>
      </c>
      <c r="N58">
        <v>0</v>
      </c>
      <c r="O58">
        <v>0</v>
      </c>
      <c r="P58">
        <v>0</v>
      </c>
      <c r="Q58">
        <v>1</v>
      </c>
      <c r="R58">
        <v>6</v>
      </c>
      <c r="S58">
        <v>6</v>
      </c>
      <c r="T58">
        <v>0</v>
      </c>
      <c r="V58" t="b">
        <f t="shared" si="0"/>
        <v>1</v>
      </c>
      <c r="W58" t="b">
        <f t="shared" si="1"/>
        <v>0</v>
      </c>
      <c r="X58" t="b">
        <f t="shared" si="2"/>
        <v>0</v>
      </c>
      <c r="Y58" t="b">
        <f t="shared" si="3"/>
        <v>0</v>
      </c>
      <c r="Z58" t="b">
        <f t="shared" si="4"/>
        <v>0</v>
      </c>
      <c r="AA58" t="b">
        <f t="shared" si="5"/>
        <v>0</v>
      </c>
      <c r="AB58" t="b">
        <f t="shared" si="6"/>
        <v>0</v>
      </c>
      <c r="AC58" t="b">
        <f t="shared" si="7"/>
        <v>0</v>
      </c>
      <c r="AD58" t="b">
        <f t="shared" si="8"/>
        <v>0</v>
      </c>
      <c r="AE58" t="b">
        <f t="shared" si="9"/>
        <v>0</v>
      </c>
      <c r="AF58" t="b">
        <f t="shared" si="10"/>
        <v>0</v>
      </c>
      <c r="AG58" t="b">
        <f t="shared" si="11"/>
        <v>0</v>
      </c>
      <c r="AH58" t="b">
        <f t="shared" si="12"/>
        <v>0</v>
      </c>
    </row>
    <row r="59" spans="1:34" x14ac:dyDescent="0.2">
      <c r="A59" t="s">
        <v>150</v>
      </c>
      <c r="B59" t="s">
        <v>151</v>
      </c>
      <c r="C59" t="s">
        <v>151</v>
      </c>
      <c r="D59">
        <v>0</v>
      </c>
      <c r="E59">
        <v>1</v>
      </c>
      <c r="F59">
        <v>1</v>
      </c>
      <c r="G59">
        <v>1</v>
      </c>
      <c r="H59">
        <v>0</v>
      </c>
      <c r="I59">
        <v>1</v>
      </c>
      <c r="J59">
        <v>2</v>
      </c>
      <c r="K59">
        <v>0</v>
      </c>
      <c r="L59">
        <v>1</v>
      </c>
      <c r="M59">
        <v>1</v>
      </c>
      <c r="O59">
        <v>0</v>
      </c>
      <c r="P59">
        <v>0</v>
      </c>
      <c r="Q59">
        <v>1</v>
      </c>
      <c r="R59">
        <v>6</v>
      </c>
      <c r="S59">
        <v>5</v>
      </c>
      <c r="T59">
        <v>1</v>
      </c>
      <c r="V59" t="b">
        <f t="shared" si="0"/>
        <v>1</v>
      </c>
      <c r="W59" t="b">
        <f t="shared" si="1"/>
        <v>0</v>
      </c>
      <c r="X59" t="b">
        <f t="shared" si="2"/>
        <v>0</v>
      </c>
      <c r="Y59" t="b">
        <f t="shared" si="3"/>
        <v>0</v>
      </c>
      <c r="Z59" t="b">
        <f t="shared" si="4"/>
        <v>0</v>
      </c>
      <c r="AA59" t="b">
        <f t="shared" si="5"/>
        <v>0</v>
      </c>
      <c r="AB59" t="b">
        <f t="shared" si="6"/>
        <v>0</v>
      </c>
      <c r="AC59" t="b">
        <f t="shared" si="7"/>
        <v>0</v>
      </c>
      <c r="AD59" t="b">
        <f t="shared" si="8"/>
        <v>0</v>
      </c>
      <c r="AE59" t="b">
        <f t="shared" si="9"/>
        <v>0</v>
      </c>
      <c r="AF59" t="b">
        <f t="shared" si="10"/>
        <v>0</v>
      </c>
      <c r="AG59" t="b">
        <f t="shared" si="11"/>
        <v>0</v>
      </c>
      <c r="AH59" t="b">
        <f t="shared" si="12"/>
        <v>0</v>
      </c>
    </row>
    <row r="60" spans="1:34" x14ac:dyDescent="0.2">
      <c r="A60" t="s">
        <v>272</v>
      </c>
      <c r="B60" t="s">
        <v>151</v>
      </c>
      <c r="C60" t="s">
        <v>151</v>
      </c>
      <c r="D60">
        <v>0</v>
      </c>
      <c r="E60">
        <v>2</v>
      </c>
      <c r="F60">
        <v>1</v>
      </c>
      <c r="G60">
        <v>1</v>
      </c>
      <c r="H60">
        <v>0</v>
      </c>
      <c r="I60">
        <v>2</v>
      </c>
      <c r="J60">
        <v>1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2</v>
      </c>
      <c r="R60">
        <v>4</v>
      </c>
      <c r="S60">
        <v>7</v>
      </c>
      <c r="T60">
        <v>0</v>
      </c>
      <c r="V60" t="b">
        <f t="shared" si="0"/>
        <v>1</v>
      </c>
      <c r="W60" t="b">
        <f t="shared" si="1"/>
        <v>1</v>
      </c>
      <c r="X60" t="b">
        <f t="shared" si="2"/>
        <v>0</v>
      </c>
      <c r="Y60" t="b">
        <f t="shared" si="3"/>
        <v>0</v>
      </c>
      <c r="Z60" t="b">
        <f t="shared" si="4"/>
        <v>0</v>
      </c>
      <c r="AA60" t="b">
        <f t="shared" si="5"/>
        <v>0</v>
      </c>
      <c r="AB60" t="b">
        <f t="shared" si="6"/>
        <v>0</v>
      </c>
      <c r="AC60" t="b">
        <f t="shared" si="7"/>
        <v>0</v>
      </c>
      <c r="AD60" t="b">
        <f t="shared" si="8"/>
        <v>0</v>
      </c>
      <c r="AE60" t="b">
        <f t="shared" si="9"/>
        <v>0</v>
      </c>
      <c r="AF60" t="b">
        <f t="shared" si="10"/>
        <v>0</v>
      </c>
      <c r="AG60" t="b">
        <f t="shared" si="11"/>
        <v>0</v>
      </c>
      <c r="AH60" t="b">
        <f t="shared" si="12"/>
        <v>0</v>
      </c>
    </row>
    <row r="61" spans="1:34" x14ac:dyDescent="0.2">
      <c r="A61" t="s">
        <v>152</v>
      </c>
      <c r="B61" t="s">
        <v>151</v>
      </c>
      <c r="C61" t="s">
        <v>151</v>
      </c>
      <c r="D61">
        <v>0</v>
      </c>
      <c r="E61">
        <v>1</v>
      </c>
      <c r="F61">
        <v>2</v>
      </c>
      <c r="G61">
        <v>1</v>
      </c>
      <c r="H61">
        <v>1</v>
      </c>
      <c r="I61">
        <v>1</v>
      </c>
      <c r="J61">
        <v>2</v>
      </c>
      <c r="K61">
        <v>1</v>
      </c>
      <c r="L61">
        <v>1</v>
      </c>
      <c r="M61">
        <v>1</v>
      </c>
      <c r="O61">
        <v>2</v>
      </c>
      <c r="P61">
        <v>1</v>
      </c>
      <c r="Q61">
        <v>3</v>
      </c>
      <c r="R61">
        <v>8</v>
      </c>
      <c r="S61">
        <v>1</v>
      </c>
      <c r="T61">
        <v>1</v>
      </c>
      <c r="V61" t="b">
        <f t="shared" si="0"/>
        <v>1</v>
      </c>
      <c r="W61" t="b">
        <f t="shared" si="1"/>
        <v>1</v>
      </c>
      <c r="X61" t="b">
        <f t="shared" si="2"/>
        <v>1</v>
      </c>
      <c r="Y61" t="b">
        <f t="shared" si="3"/>
        <v>0</v>
      </c>
      <c r="Z61" t="b">
        <f t="shared" si="4"/>
        <v>0</v>
      </c>
      <c r="AA61" t="b">
        <f t="shared" si="5"/>
        <v>0</v>
      </c>
      <c r="AB61" t="b">
        <f t="shared" si="6"/>
        <v>0</v>
      </c>
      <c r="AC61" t="b">
        <f t="shared" si="7"/>
        <v>0</v>
      </c>
      <c r="AD61" t="b">
        <f t="shared" si="8"/>
        <v>0</v>
      </c>
      <c r="AE61" t="b">
        <f t="shared" si="9"/>
        <v>0</v>
      </c>
      <c r="AF61" t="b">
        <f t="shared" si="10"/>
        <v>0</v>
      </c>
      <c r="AG61" t="b">
        <f t="shared" si="11"/>
        <v>0</v>
      </c>
      <c r="AH61" t="b">
        <f t="shared" si="12"/>
        <v>0</v>
      </c>
    </row>
    <row r="62" spans="1:34" x14ac:dyDescent="0.2">
      <c r="A62" t="s">
        <v>273</v>
      </c>
      <c r="B62" t="s">
        <v>274</v>
      </c>
      <c r="C62" t="s">
        <v>275</v>
      </c>
      <c r="D62">
        <v>0</v>
      </c>
      <c r="E62">
        <v>0</v>
      </c>
      <c r="F62">
        <v>2</v>
      </c>
      <c r="G62">
        <v>2</v>
      </c>
      <c r="H62">
        <v>1</v>
      </c>
      <c r="I62">
        <v>2</v>
      </c>
      <c r="J62">
        <v>1</v>
      </c>
      <c r="K62">
        <v>1</v>
      </c>
      <c r="L62">
        <v>1</v>
      </c>
      <c r="M62">
        <v>1</v>
      </c>
      <c r="N62">
        <v>0</v>
      </c>
      <c r="O62">
        <v>1</v>
      </c>
      <c r="P62">
        <v>1</v>
      </c>
      <c r="Q62">
        <v>3</v>
      </c>
      <c r="R62">
        <v>7</v>
      </c>
      <c r="S62">
        <v>3</v>
      </c>
      <c r="T62">
        <v>0</v>
      </c>
      <c r="V62" t="b">
        <f t="shared" si="0"/>
        <v>1</v>
      </c>
      <c r="W62" t="b">
        <f t="shared" si="1"/>
        <v>1</v>
      </c>
      <c r="X62" t="b">
        <f t="shared" si="2"/>
        <v>1</v>
      </c>
      <c r="Y62" t="b">
        <f t="shared" si="3"/>
        <v>0</v>
      </c>
      <c r="Z62" t="b">
        <f t="shared" si="4"/>
        <v>0</v>
      </c>
      <c r="AA62" t="b">
        <f t="shared" si="5"/>
        <v>0</v>
      </c>
      <c r="AB62" t="b">
        <f t="shared" si="6"/>
        <v>0</v>
      </c>
      <c r="AC62" t="b">
        <f t="shared" si="7"/>
        <v>0</v>
      </c>
      <c r="AD62" t="b">
        <f t="shared" si="8"/>
        <v>0</v>
      </c>
      <c r="AE62" t="b">
        <f t="shared" si="9"/>
        <v>0</v>
      </c>
      <c r="AF62" t="b">
        <f t="shared" si="10"/>
        <v>0</v>
      </c>
      <c r="AG62" t="b">
        <f t="shared" si="11"/>
        <v>0</v>
      </c>
      <c r="AH62" t="b">
        <f t="shared" si="12"/>
        <v>0</v>
      </c>
    </row>
    <row r="63" spans="1:34" x14ac:dyDescent="0.2">
      <c r="A63" t="s">
        <v>276</v>
      </c>
      <c r="B63" t="s">
        <v>274</v>
      </c>
      <c r="C63" t="s">
        <v>275</v>
      </c>
      <c r="D63">
        <v>1</v>
      </c>
      <c r="E63">
        <v>1</v>
      </c>
      <c r="F63">
        <v>1</v>
      </c>
      <c r="G63">
        <v>2</v>
      </c>
      <c r="H63">
        <v>1</v>
      </c>
      <c r="I63">
        <v>0</v>
      </c>
      <c r="J63">
        <v>0</v>
      </c>
      <c r="K63">
        <v>1</v>
      </c>
      <c r="L63">
        <v>1</v>
      </c>
      <c r="M63">
        <v>0</v>
      </c>
      <c r="N63">
        <v>1</v>
      </c>
      <c r="O63">
        <v>1</v>
      </c>
      <c r="P63">
        <v>0</v>
      </c>
      <c r="Q63">
        <v>1</v>
      </c>
      <c r="R63">
        <v>8</v>
      </c>
      <c r="S63">
        <v>4</v>
      </c>
      <c r="T63">
        <v>0</v>
      </c>
      <c r="V63" t="b">
        <f t="shared" si="0"/>
        <v>1</v>
      </c>
      <c r="W63" t="b">
        <f t="shared" si="1"/>
        <v>0</v>
      </c>
      <c r="X63" t="b">
        <f t="shared" si="2"/>
        <v>0</v>
      </c>
      <c r="Y63" t="b">
        <f t="shared" si="3"/>
        <v>0</v>
      </c>
      <c r="Z63" t="b">
        <f t="shared" si="4"/>
        <v>0</v>
      </c>
      <c r="AA63" t="b">
        <f t="shared" si="5"/>
        <v>0</v>
      </c>
      <c r="AB63" t="b">
        <f t="shared" si="6"/>
        <v>0</v>
      </c>
      <c r="AC63" t="b">
        <f t="shared" si="7"/>
        <v>0</v>
      </c>
      <c r="AD63" t="b">
        <f t="shared" si="8"/>
        <v>0</v>
      </c>
      <c r="AE63" t="b">
        <f t="shared" si="9"/>
        <v>0</v>
      </c>
      <c r="AF63" t="b">
        <f t="shared" si="10"/>
        <v>0</v>
      </c>
      <c r="AG63" t="b">
        <f t="shared" si="11"/>
        <v>0</v>
      </c>
      <c r="AH63" t="b">
        <f t="shared" si="12"/>
        <v>0</v>
      </c>
    </row>
    <row r="64" spans="1:34" x14ac:dyDescent="0.2">
      <c r="A64" t="s">
        <v>277</v>
      </c>
      <c r="B64" t="s">
        <v>278</v>
      </c>
      <c r="C64" t="s">
        <v>278</v>
      </c>
      <c r="D64">
        <v>1</v>
      </c>
      <c r="E64">
        <v>2</v>
      </c>
      <c r="F64">
        <v>0</v>
      </c>
      <c r="G64">
        <v>0</v>
      </c>
      <c r="H64">
        <v>2</v>
      </c>
      <c r="I64">
        <v>0</v>
      </c>
      <c r="J64">
        <v>1</v>
      </c>
      <c r="K64">
        <v>1</v>
      </c>
      <c r="L64">
        <v>1</v>
      </c>
      <c r="M64">
        <v>1</v>
      </c>
      <c r="N64">
        <v>1</v>
      </c>
      <c r="O64">
        <v>0</v>
      </c>
      <c r="P64">
        <v>0</v>
      </c>
      <c r="Q64">
        <v>2</v>
      </c>
      <c r="R64">
        <v>6</v>
      </c>
      <c r="S64">
        <v>5</v>
      </c>
      <c r="T64">
        <v>0</v>
      </c>
      <c r="V64" t="b">
        <f t="shared" si="0"/>
        <v>1</v>
      </c>
      <c r="W64" t="b">
        <f t="shared" si="1"/>
        <v>1</v>
      </c>
      <c r="X64" t="b">
        <f t="shared" si="2"/>
        <v>0</v>
      </c>
      <c r="Y64" t="b">
        <f t="shared" si="3"/>
        <v>0</v>
      </c>
      <c r="Z64" t="b">
        <f t="shared" si="4"/>
        <v>0</v>
      </c>
      <c r="AA64" t="b">
        <f t="shared" si="5"/>
        <v>0</v>
      </c>
      <c r="AB64" t="b">
        <f t="shared" si="6"/>
        <v>0</v>
      </c>
      <c r="AC64" t="b">
        <f t="shared" si="7"/>
        <v>0</v>
      </c>
      <c r="AD64" t="b">
        <f t="shared" si="8"/>
        <v>0</v>
      </c>
      <c r="AE64" t="b">
        <f t="shared" si="9"/>
        <v>0</v>
      </c>
      <c r="AF64" t="b">
        <f t="shared" si="10"/>
        <v>0</v>
      </c>
      <c r="AG64" t="b">
        <f t="shared" si="11"/>
        <v>0</v>
      </c>
      <c r="AH64" t="b">
        <f t="shared" si="12"/>
        <v>0</v>
      </c>
    </row>
    <row r="65" spans="1:34" x14ac:dyDescent="0.2">
      <c r="A65" t="s">
        <v>279</v>
      </c>
      <c r="B65" t="s">
        <v>154</v>
      </c>
      <c r="C65" t="s">
        <v>154</v>
      </c>
      <c r="D65">
        <v>2</v>
      </c>
      <c r="E65">
        <v>1</v>
      </c>
      <c r="F65">
        <v>2</v>
      </c>
      <c r="G65">
        <v>0</v>
      </c>
      <c r="H65">
        <v>0</v>
      </c>
      <c r="I65">
        <v>0</v>
      </c>
      <c r="J65">
        <v>2</v>
      </c>
      <c r="K65">
        <v>1</v>
      </c>
      <c r="M65">
        <v>0</v>
      </c>
      <c r="O65">
        <v>2</v>
      </c>
      <c r="P65">
        <v>0</v>
      </c>
      <c r="Q65">
        <v>4</v>
      </c>
      <c r="R65">
        <v>2</v>
      </c>
      <c r="S65">
        <v>5</v>
      </c>
      <c r="T65">
        <v>2</v>
      </c>
      <c r="V65" t="b">
        <f t="shared" si="0"/>
        <v>1</v>
      </c>
      <c r="W65" t="b">
        <f t="shared" si="1"/>
        <v>1</v>
      </c>
      <c r="X65" t="b">
        <f t="shared" si="2"/>
        <v>1</v>
      </c>
      <c r="Y65" t="b">
        <f t="shared" si="3"/>
        <v>1</v>
      </c>
      <c r="Z65" t="b">
        <f t="shared" si="4"/>
        <v>0</v>
      </c>
      <c r="AA65" t="b">
        <f t="shared" si="5"/>
        <v>0</v>
      </c>
      <c r="AB65" t="b">
        <f t="shared" si="6"/>
        <v>0</v>
      </c>
      <c r="AC65" t="b">
        <f t="shared" si="7"/>
        <v>0</v>
      </c>
      <c r="AD65" t="b">
        <f t="shared" si="8"/>
        <v>0</v>
      </c>
      <c r="AE65" t="b">
        <f t="shared" si="9"/>
        <v>0</v>
      </c>
      <c r="AF65" t="b">
        <f t="shared" si="10"/>
        <v>0</v>
      </c>
      <c r="AG65" t="b">
        <f t="shared" si="11"/>
        <v>0</v>
      </c>
      <c r="AH65" t="b">
        <f t="shared" si="12"/>
        <v>0</v>
      </c>
    </row>
    <row r="66" spans="1:34" x14ac:dyDescent="0.2">
      <c r="A66" t="s">
        <v>280</v>
      </c>
      <c r="B66" t="s">
        <v>154</v>
      </c>
      <c r="C66" t="s">
        <v>154</v>
      </c>
      <c r="D66">
        <v>1</v>
      </c>
      <c r="E66">
        <v>1</v>
      </c>
      <c r="F66">
        <v>2</v>
      </c>
      <c r="G66">
        <v>0</v>
      </c>
      <c r="H66">
        <v>0</v>
      </c>
      <c r="I66">
        <v>0</v>
      </c>
      <c r="J66">
        <v>1</v>
      </c>
      <c r="K66">
        <v>1</v>
      </c>
      <c r="L66">
        <v>0</v>
      </c>
      <c r="M66">
        <v>2</v>
      </c>
      <c r="N66">
        <v>0</v>
      </c>
      <c r="O66">
        <v>2</v>
      </c>
      <c r="P66">
        <v>0</v>
      </c>
      <c r="Q66">
        <v>3</v>
      </c>
      <c r="R66">
        <v>4</v>
      </c>
      <c r="S66">
        <v>6</v>
      </c>
      <c r="T66">
        <v>0</v>
      </c>
      <c r="V66" t="b">
        <f t="shared" si="0"/>
        <v>1</v>
      </c>
      <c r="W66" t="b">
        <f t="shared" si="1"/>
        <v>1</v>
      </c>
      <c r="X66" t="b">
        <f t="shared" si="2"/>
        <v>1</v>
      </c>
      <c r="Y66" t="b">
        <f t="shared" si="3"/>
        <v>0</v>
      </c>
      <c r="Z66" t="b">
        <f t="shared" si="4"/>
        <v>0</v>
      </c>
      <c r="AA66" t="b">
        <f t="shared" si="5"/>
        <v>0</v>
      </c>
      <c r="AB66" t="b">
        <f t="shared" si="6"/>
        <v>0</v>
      </c>
      <c r="AC66" t="b">
        <f t="shared" si="7"/>
        <v>0</v>
      </c>
      <c r="AD66" t="b">
        <f t="shared" si="8"/>
        <v>0</v>
      </c>
      <c r="AE66" t="b">
        <f t="shared" si="9"/>
        <v>0</v>
      </c>
      <c r="AF66" t="b">
        <f t="shared" si="10"/>
        <v>0</v>
      </c>
      <c r="AG66" t="b">
        <f t="shared" si="11"/>
        <v>0</v>
      </c>
      <c r="AH66" t="b">
        <f t="shared" si="12"/>
        <v>0</v>
      </c>
    </row>
    <row r="67" spans="1:34" x14ac:dyDescent="0.2">
      <c r="A67" t="s">
        <v>281</v>
      </c>
      <c r="B67" t="s">
        <v>154</v>
      </c>
      <c r="C67" t="s">
        <v>154</v>
      </c>
      <c r="E67">
        <v>1</v>
      </c>
      <c r="F67">
        <v>2</v>
      </c>
      <c r="G67">
        <v>0</v>
      </c>
      <c r="H67">
        <v>2</v>
      </c>
      <c r="I67">
        <v>1</v>
      </c>
      <c r="J67">
        <v>2</v>
      </c>
      <c r="K67">
        <v>1</v>
      </c>
      <c r="L67">
        <v>1</v>
      </c>
      <c r="M67">
        <v>2</v>
      </c>
      <c r="O67">
        <v>2</v>
      </c>
      <c r="P67">
        <v>0</v>
      </c>
      <c r="Q67">
        <v>5</v>
      </c>
      <c r="R67">
        <v>4</v>
      </c>
      <c r="S67">
        <v>2</v>
      </c>
      <c r="T67">
        <v>2</v>
      </c>
      <c r="V67" t="b">
        <f t="shared" ref="V67:V105" si="13">Q67&gt;=1</f>
        <v>1</v>
      </c>
      <c r="W67" t="b">
        <f t="shared" ref="W67:W105" si="14">Q67&gt;=2</f>
        <v>1</v>
      </c>
      <c r="X67" t="b">
        <f t="shared" ref="X67:X105" si="15">Q67&gt;=3</f>
        <v>1</v>
      </c>
      <c r="Y67" t="b">
        <f t="shared" ref="Y67:Y105" si="16">Q67&gt;=4</f>
        <v>1</v>
      </c>
      <c r="Z67" t="b">
        <f t="shared" ref="Z67:Z105" si="17">Q67&gt;=5</f>
        <v>1</v>
      </c>
      <c r="AA67" t="b">
        <f t="shared" ref="AA67:AA105" si="18">Q67&gt;=6</f>
        <v>0</v>
      </c>
      <c r="AB67" t="b">
        <f t="shared" ref="AB67:AB105" si="19">Q67&gt;=7</f>
        <v>0</v>
      </c>
      <c r="AC67" t="b">
        <f t="shared" ref="AC67:AC105" si="20">Q67&gt;=8</f>
        <v>0</v>
      </c>
      <c r="AD67" t="b">
        <f t="shared" ref="AD67:AD105" si="21">Q67&gt;=9</f>
        <v>0</v>
      </c>
      <c r="AE67" t="b">
        <f t="shared" ref="AE67:AE105" si="22">Q67&gt;=10</f>
        <v>0</v>
      </c>
      <c r="AF67" t="b">
        <f t="shared" ref="AF67:AF105" si="23">Q67&gt;=11</f>
        <v>0</v>
      </c>
      <c r="AG67" t="b">
        <f t="shared" ref="AG67:AG105" si="24">Q67&gt;=12</f>
        <v>0</v>
      </c>
      <c r="AH67" t="b">
        <f t="shared" ref="AH67:AH105" si="25">Q67&gt;=13</f>
        <v>0</v>
      </c>
    </row>
    <row r="68" spans="1:34" x14ac:dyDescent="0.2">
      <c r="A68" t="s">
        <v>282</v>
      </c>
      <c r="B68" t="s">
        <v>160</v>
      </c>
      <c r="C68" t="s">
        <v>160</v>
      </c>
      <c r="D68">
        <v>2</v>
      </c>
      <c r="E68">
        <v>2</v>
      </c>
      <c r="F68">
        <v>1</v>
      </c>
      <c r="G68">
        <v>2</v>
      </c>
      <c r="H68">
        <v>0</v>
      </c>
      <c r="I68">
        <v>0</v>
      </c>
      <c r="J68">
        <v>2</v>
      </c>
      <c r="K68">
        <v>1</v>
      </c>
      <c r="L68">
        <v>1</v>
      </c>
      <c r="M68">
        <v>2</v>
      </c>
      <c r="N68">
        <v>1</v>
      </c>
      <c r="P68">
        <v>0</v>
      </c>
      <c r="Q68">
        <v>5</v>
      </c>
      <c r="R68">
        <v>4</v>
      </c>
      <c r="S68">
        <v>3</v>
      </c>
      <c r="T68">
        <v>1</v>
      </c>
      <c r="V68" t="b">
        <f t="shared" si="13"/>
        <v>1</v>
      </c>
      <c r="W68" t="b">
        <f t="shared" si="14"/>
        <v>1</v>
      </c>
      <c r="X68" t="b">
        <f t="shared" si="15"/>
        <v>1</v>
      </c>
      <c r="Y68" t="b">
        <f t="shared" si="16"/>
        <v>1</v>
      </c>
      <c r="Z68" t="b">
        <f t="shared" si="17"/>
        <v>1</v>
      </c>
      <c r="AA68" t="b">
        <f t="shared" si="18"/>
        <v>0</v>
      </c>
      <c r="AB68" t="b">
        <f t="shared" si="19"/>
        <v>0</v>
      </c>
      <c r="AC68" t="b">
        <f t="shared" si="20"/>
        <v>0</v>
      </c>
      <c r="AD68" t="b">
        <f t="shared" si="21"/>
        <v>0</v>
      </c>
      <c r="AE68" t="b">
        <f t="shared" si="22"/>
        <v>0</v>
      </c>
      <c r="AF68" t="b">
        <f t="shared" si="23"/>
        <v>0</v>
      </c>
      <c r="AG68" t="b">
        <f t="shared" si="24"/>
        <v>0</v>
      </c>
      <c r="AH68" t="b">
        <f t="shared" si="25"/>
        <v>0</v>
      </c>
    </row>
    <row r="69" spans="1:34" x14ac:dyDescent="0.2">
      <c r="A69" t="s">
        <v>283</v>
      </c>
      <c r="B69" t="s">
        <v>284</v>
      </c>
      <c r="C69" t="s">
        <v>285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v>1</v>
      </c>
      <c r="K69">
        <v>0</v>
      </c>
      <c r="M69">
        <v>0</v>
      </c>
      <c r="O69">
        <v>0</v>
      </c>
      <c r="P69">
        <v>0</v>
      </c>
      <c r="Q69">
        <v>0</v>
      </c>
      <c r="R69">
        <v>2</v>
      </c>
      <c r="S69">
        <v>9</v>
      </c>
      <c r="T69">
        <v>2</v>
      </c>
      <c r="V69" t="b">
        <f t="shared" si="13"/>
        <v>0</v>
      </c>
      <c r="W69" t="b">
        <f t="shared" si="14"/>
        <v>0</v>
      </c>
      <c r="X69" t="b">
        <f t="shared" si="15"/>
        <v>0</v>
      </c>
      <c r="Y69" t="b">
        <f t="shared" si="16"/>
        <v>0</v>
      </c>
      <c r="Z69" t="b">
        <f t="shared" si="17"/>
        <v>0</v>
      </c>
      <c r="AA69" t="b">
        <f t="shared" si="18"/>
        <v>0</v>
      </c>
      <c r="AB69" t="b">
        <f t="shared" si="19"/>
        <v>0</v>
      </c>
      <c r="AC69" t="b">
        <f t="shared" si="20"/>
        <v>0</v>
      </c>
      <c r="AD69" t="b">
        <f t="shared" si="21"/>
        <v>0</v>
      </c>
      <c r="AE69" t="b">
        <f t="shared" si="22"/>
        <v>0</v>
      </c>
      <c r="AF69" t="b">
        <f t="shared" si="23"/>
        <v>0</v>
      </c>
      <c r="AG69" t="b">
        <f t="shared" si="24"/>
        <v>0</v>
      </c>
      <c r="AH69" t="b">
        <f t="shared" si="25"/>
        <v>0</v>
      </c>
    </row>
    <row r="70" spans="1:34" x14ac:dyDescent="0.2">
      <c r="A70">
        <v>2004</v>
      </c>
      <c r="B70" t="s">
        <v>284</v>
      </c>
      <c r="C70" t="s">
        <v>285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13</v>
      </c>
      <c r="T70">
        <v>0</v>
      </c>
      <c r="V70" t="b">
        <f t="shared" si="13"/>
        <v>0</v>
      </c>
      <c r="W70" t="b">
        <f t="shared" si="14"/>
        <v>0</v>
      </c>
      <c r="X70" t="b">
        <f t="shared" si="15"/>
        <v>0</v>
      </c>
      <c r="Y70" t="b">
        <f t="shared" si="16"/>
        <v>0</v>
      </c>
      <c r="Z70" t="b">
        <f t="shared" si="17"/>
        <v>0</v>
      </c>
      <c r="AA70" t="b">
        <f t="shared" si="18"/>
        <v>0</v>
      </c>
      <c r="AB70" t="b">
        <f t="shared" si="19"/>
        <v>0</v>
      </c>
      <c r="AC70" t="b">
        <f t="shared" si="20"/>
        <v>0</v>
      </c>
      <c r="AD70" t="b">
        <f t="shared" si="21"/>
        <v>0</v>
      </c>
      <c r="AE70" t="b">
        <f t="shared" si="22"/>
        <v>0</v>
      </c>
      <c r="AF70" t="b">
        <f t="shared" si="23"/>
        <v>0</v>
      </c>
      <c r="AG70" t="b">
        <f t="shared" si="24"/>
        <v>0</v>
      </c>
      <c r="AH70" t="b">
        <f t="shared" si="25"/>
        <v>0</v>
      </c>
    </row>
    <row r="71" spans="1:34" x14ac:dyDescent="0.2">
      <c r="A71" t="s">
        <v>286</v>
      </c>
      <c r="B71" t="s">
        <v>284</v>
      </c>
      <c r="C71" t="s">
        <v>285</v>
      </c>
      <c r="D71">
        <v>1</v>
      </c>
      <c r="E71">
        <v>1</v>
      </c>
      <c r="F71">
        <v>2</v>
      </c>
      <c r="G71">
        <v>2</v>
      </c>
      <c r="H71">
        <v>1</v>
      </c>
      <c r="I71">
        <v>0</v>
      </c>
      <c r="J71">
        <v>2</v>
      </c>
      <c r="K71">
        <v>1</v>
      </c>
      <c r="L71">
        <v>1</v>
      </c>
      <c r="M71">
        <v>1</v>
      </c>
      <c r="N71">
        <v>1</v>
      </c>
      <c r="O71">
        <v>2</v>
      </c>
      <c r="P71">
        <v>1</v>
      </c>
      <c r="Q71">
        <v>4</v>
      </c>
      <c r="R71">
        <v>8</v>
      </c>
      <c r="S71">
        <v>1</v>
      </c>
      <c r="T71">
        <v>0</v>
      </c>
      <c r="V71" t="b">
        <f t="shared" si="13"/>
        <v>1</v>
      </c>
      <c r="W71" t="b">
        <f t="shared" si="14"/>
        <v>1</v>
      </c>
      <c r="X71" t="b">
        <f t="shared" si="15"/>
        <v>1</v>
      </c>
      <c r="Y71" t="b">
        <f t="shared" si="16"/>
        <v>1</v>
      </c>
      <c r="Z71" t="b">
        <f t="shared" si="17"/>
        <v>0</v>
      </c>
      <c r="AA71" t="b">
        <f t="shared" si="18"/>
        <v>0</v>
      </c>
      <c r="AB71" t="b">
        <f t="shared" si="19"/>
        <v>0</v>
      </c>
      <c r="AC71" t="b">
        <f t="shared" si="20"/>
        <v>0</v>
      </c>
      <c r="AD71" t="b">
        <f t="shared" si="21"/>
        <v>0</v>
      </c>
      <c r="AE71" t="b">
        <f t="shared" si="22"/>
        <v>0</v>
      </c>
      <c r="AF71" t="b">
        <f t="shared" si="23"/>
        <v>0</v>
      </c>
      <c r="AG71" t="b">
        <f t="shared" si="24"/>
        <v>0</v>
      </c>
      <c r="AH71" t="b">
        <f t="shared" si="25"/>
        <v>0</v>
      </c>
    </row>
    <row r="72" spans="1:34" x14ac:dyDescent="0.2">
      <c r="A72" t="s">
        <v>287</v>
      </c>
      <c r="B72" t="s">
        <v>163</v>
      </c>
      <c r="C72" t="s">
        <v>116</v>
      </c>
      <c r="D72">
        <v>0</v>
      </c>
      <c r="E72">
        <v>1</v>
      </c>
      <c r="F72">
        <v>1</v>
      </c>
      <c r="G72">
        <v>0</v>
      </c>
      <c r="H72">
        <v>0</v>
      </c>
      <c r="I72">
        <v>0</v>
      </c>
      <c r="J72">
        <v>0</v>
      </c>
      <c r="K72">
        <v>2</v>
      </c>
      <c r="L72">
        <v>2</v>
      </c>
      <c r="M72">
        <v>0</v>
      </c>
      <c r="N72">
        <v>0</v>
      </c>
      <c r="O72">
        <v>0</v>
      </c>
      <c r="P72">
        <v>0</v>
      </c>
      <c r="Q72">
        <v>2</v>
      </c>
      <c r="R72">
        <v>2</v>
      </c>
      <c r="S72">
        <v>9</v>
      </c>
      <c r="T72">
        <v>0</v>
      </c>
      <c r="V72" t="b">
        <f t="shared" si="13"/>
        <v>1</v>
      </c>
      <c r="W72" t="b">
        <f t="shared" si="14"/>
        <v>1</v>
      </c>
      <c r="X72" t="b">
        <f t="shared" si="15"/>
        <v>0</v>
      </c>
      <c r="Y72" t="b">
        <f t="shared" si="16"/>
        <v>0</v>
      </c>
      <c r="Z72" t="b">
        <f t="shared" si="17"/>
        <v>0</v>
      </c>
      <c r="AA72" t="b">
        <f t="shared" si="18"/>
        <v>0</v>
      </c>
      <c r="AB72" t="b">
        <f t="shared" si="19"/>
        <v>0</v>
      </c>
      <c r="AC72" t="b">
        <f t="shared" si="20"/>
        <v>0</v>
      </c>
      <c r="AD72" t="b">
        <f t="shared" si="21"/>
        <v>0</v>
      </c>
      <c r="AE72" t="b">
        <f t="shared" si="22"/>
        <v>0</v>
      </c>
      <c r="AF72" t="b">
        <f t="shared" si="23"/>
        <v>0</v>
      </c>
      <c r="AG72" t="b">
        <f t="shared" si="24"/>
        <v>0</v>
      </c>
      <c r="AH72" t="b">
        <f t="shared" si="25"/>
        <v>0</v>
      </c>
    </row>
    <row r="73" spans="1:34" x14ac:dyDescent="0.2">
      <c r="A73" t="s">
        <v>288</v>
      </c>
      <c r="B73" t="s">
        <v>163</v>
      </c>
      <c r="C73" t="s">
        <v>116</v>
      </c>
      <c r="D73">
        <v>0</v>
      </c>
      <c r="E73">
        <v>0</v>
      </c>
      <c r="F73">
        <v>2</v>
      </c>
      <c r="G73">
        <v>2</v>
      </c>
      <c r="H73">
        <v>1</v>
      </c>
      <c r="I73">
        <v>1</v>
      </c>
      <c r="J73">
        <v>2</v>
      </c>
      <c r="K73">
        <v>2</v>
      </c>
      <c r="L73">
        <v>1</v>
      </c>
      <c r="M73">
        <v>1</v>
      </c>
      <c r="N73">
        <v>0</v>
      </c>
      <c r="O73">
        <v>2</v>
      </c>
      <c r="P73">
        <v>0</v>
      </c>
      <c r="Q73">
        <v>5</v>
      </c>
      <c r="R73">
        <v>4</v>
      </c>
      <c r="S73">
        <v>4</v>
      </c>
      <c r="T73">
        <v>0</v>
      </c>
      <c r="V73" t="b">
        <f t="shared" si="13"/>
        <v>1</v>
      </c>
      <c r="W73" t="b">
        <f t="shared" si="14"/>
        <v>1</v>
      </c>
      <c r="X73" t="b">
        <f t="shared" si="15"/>
        <v>1</v>
      </c>
      <c r="Y73" t="b">
        <f t="shared" si="16"/>
        <v>1</v>
      </c>
      <c r="Z73" t="b">
        <f t="shared" si="17"/>
        <v>1</v>
      </c>
      <c r="AA73" t="b">
        <f t="shared" si="18"/>
        <v>0</v>
      </c>
      <c r="AB73" t="b">
        <f t="shared" si="19"/>
        <v>0</v>
      </c>
      <c r="AC73" t="b">
        <f t="shared" si="20"/>
        <v>0</v>
      </c>
      <c r="AD73" t="b">
        <f t="shared" si="21"/>
        <v>0</v>
      </c>
      <c r="AE73" t="b">
        <f t="shared" si="22"/>
        <v>0</v>
      </c>
      <c r="AF73" t="b">
        <f t="shared" si="23"/>
        <v>0</v>
      </c>
      <c r="AG73" t="b">
        <f t="shared" si="24"/>
        <v>0</v>
      </c>
      <c r="AH73" t="b">
        <f t="shared" si="25"/>
        <v>0</v>
      </c>
    </row>
    <row r="74" spans="1:34" x14ac:dyDescent="0.2">
      <c r="A74" t="s">
        <v>47</v>
      </c>
      <c r="B74" t="s">
        <v>289</v>
      </c>
      <c r="C74" t="s">
        <v>289</v>
      </c>
      <c r="D74">
        <v>1</v>
      </c>
      <c r="E74">
        <v>1</v>
      </c>
      <c r="F74">
        <v>1</v>
      </c>
      <c r="G74">
        <v>1</v>
      </c>
      <c r="H74">
        <v>0</v>
      </c>
      <c r="I74">
        <v>1</v>
      </c>
      <c r="J74">
        <v>1</v>
      </c>
      <c r="K74">
        <v>0</v>
      </c>
      <c r="L74">
        <v>0</v>
      </c>
      <c r="M74">
        <v>1</v>
      </c>
      <c r="N74">
        <v>1</v>
      </c>
      <c r="O74">
        <v>0</v>
      </c>
      <c r="P74">
        <v>0</v>
      </c>
      <c r="Q74">
        <v>0</v>
      </c>
      <c r="R74">
        <v>8</v>
      </c>
      <c r="S74">
        <v>5</v>
      </c>
      <c r="T74">
        <v>0</v>
      </c>
      <c r="V74" t="b">
        <f t="shared" si="13"/>
        <v>0</v>
      </c>
      <c r="W74" t="b">
        <f t="shared" si="14"/>
        <v>0</v>
      </c>
      <c r="X74" t="b">
        <f t="shared" si="15"/>
        <v>0</v>
      </c>
      <c r="Y74" t="b">
        <f t="shared" si="16"/>
        <v>0</v>
      </c>
      <c r="Z74" t="b">
        <f t="shared" si="17"/>
        <v>0</v>
      </c>
      <c r="AA74" t="b">
        <f t="shared" si="18"/>
        <v>0</v>
      </c>
      <c r="AB74" t="b">
        <f t="shared" si="19"/>
        <v>0</v>
      </c>
      <c r="AC74" t="b">
        <f t="shared" si="20"/>
        <v>0</v>
      </c>
      <c r="AD74" t="b">
        <f t="shared" si="21"/>
        <v>0</v>
      </c>
      <c r="AE74" t="b">
        <f t="shared" si="22"/>
        <v>0</v>
      </c>
      <c r="AF74" t="b">
        <f t="shared" si="23"/>
        <v>0</v>
      </c>
      <c r="AG74" t="b">
        <f t="shared" si="24"/>
        <v>0</v>
      </c>
      <c r="AH74" t="b">
        <f t="shared" si="25"/>
        <v>0</v>
      </c>
    </row>
    <row r="75" spans="1:34" x14ac:dyDescent="0.2">
      <c r="A75" t="s">
        <v>290</v>
      </c>
      <c r="B75" t="s">
        <v>291</v>
      </c>
      <c r="C75" t="s">
        <v>291</v>
      </c>
      <c r="D75">
        <v>1</v>
      </c>
      <c r="E75">
        <v>0</v>
      </c>
      <c r="F75">
        <v>2</v>
      </c>
      <c r="G75">
        <v>2</v>
      </c>
      <c r="H75">
        <v>0</v>
      </c>
      <c r="I75">
        <v>2</v>
      </c>
      <c r="J75">
        <v>1</v>
      </c>
      <c r="K75">
        <v>2</v>
      </c>
      <c r="L75">
        <v>1</v>
      </c>
      <c r="M75">
        <v>2</v>
      </c>
      <c r="O75">
        <v>2</v>
      </c>
      <c r="P75">
        <v>1</v>
      </c>
      <c r="Q75">
        <v>6</v>
      </c>
      <c r="R75">
        <v>4</v>
      </c>
      <c r="S75">
        <v>2</v>
      </c>
      <c r="T75">
        <v>1</v>
      </c>
      <c r="V75" t="b">
        <f t="shared" si="13"/>
        <v>1</v>
      </c>
      <c r="W75" t="b">
        <f t="shared" si="14"/>
        <v>1</v>
      </c>
      <c r="X75" t="b">
        <f t="shared" si="15"/>
        <v>1</v>
      </c>
      <c r="Y75" t="b">
        <f t="shared" si="16"/>
        <v>1</v>
      </c>
      <c r="Z75" t="b">
        <f t="shared" si="17"/>
        <v>1</v>
      </c>
      <c r="AA75" t="b">
        <f t="shared" si="18"/>
        <v>1</v>
      </c>
      <c r="AB75" t="b">
        <f t="shared" si="19"/>
        <v>0</v>
      </c>
      <c r="AC75" t="b">
        <f t="shared" si="20"/>
        <v>0</v>
      </c>
      <c r="AD75" t="b">
        <f t="shared" si="21"/>
        <v>0</v>
      </c>
      <c r="AE75" t="b">
        <f t="shared" si="22"/>
        <v>0</v>
      </c>
      <c r="AF75" t="b">
        <f t="shared" si="23"/>
        <v>0</v>
      </c>
      <c r="AG75" t="b">
        <f t="shared" si="24"/>
        <v>0</v>
      </c>
      <c r="AH75" t="b">
        <f t="shared" si="25"/>
        <v>0</v>
      </c>
    </row>
    <row r="76" spans="1:34" x14ac:dyDescent="0.2">
      <c r="A76" t="s">
        <v>280</v>
      </c>
      <c r="B76" t="s">
        <v>167</v>
      </c>
      <c r="C76" t="s">
        <v>168</v>
      </c>
      <c r="D76">
        <v>0</v>
      </c>
      <c r="E76">
        <v>0</v>
      </c>
      <c r="F76">
        <v>2</v>
      </c>
      <c r="G76">
        <v>2</v>
      </c>
      <c r="H76">
        <v>0</v>
      </c>
      <c r="I76">
        <v>0</v>
      </c>
      <c r="J76">
        <v>1</v>
      </c>
      <c r="K76">
        <v>1</v>
      </c>
      <c r="L76">
        <v>0</v>
      </c>
      <c r="M76">
        <v>0</v>
      </c>
      <c r="N76">
        <v>0</v>
      </c>
      <c r="O76">
        <v>0</v>
      </c>
      <c r="P76">
        <v>0</v>
      </c>
      <c r="Q76">
        <v>2</v>
      </c>
      <c r="R76">
        <v>2</v>
      </c>
      <c r="S76">
        <v>9</v>
      </c>
      <c r="T76">
        <v>0</v>
      </c>
      <c r="V76" t="b">
        <f t="shared" si="13"/>
        <v>1</v>
      </c>
      <c r="W76" t="b">
        <f t="shared" si="14"/>
        <v>1</v>
      </c>
      <c r="X76" t="b">
        <f t="shared" si="15"/>
        <v>0</v>
      </c>
      <c r="Y76" t="b">
        <f t="shared" si="16"/>
        <v>0</v>
      </c>
      <c r="Z76" t="b">
        <f t="shared" si="17"/>
        <v>0</v>
      </c>
      <c r="AA76" t="b">
        <f t="shared" si="18"/>
        <v>0</v>
      </c>
      <c r="AB76" t="b">
        <f t="shared" si="19"/>
        <v>0</v>
      </c>
      <c r="AC76" t="b">
        <f t="shared" si="20"/>
        <v>0</v>
      </c>
      <c r="AD76" t="b">
        <f t="shared" si="21"/>
        <v>0</v>
      </c>
      <c r="AE76" t="b">
        <f t="shared" si="22"/>
        <v>0</v>
      </c>
      <c r="AF76" t="b">
        <f t="shared" si="23"/>
        <v>0</v>
      </c>
      <c r="AG76" t="b">
        <f t="shared" si="24"/>
        <v>0</v>
      </c>
      <c r="AH76" t="b">
        <f t="shared" si="25"/>
        <v>0</v>
      </c>
    </row>
    <row r="77" spans="1:34" x14ac:dyDescent="0.2">
      <c r="A77" t="s">
        <v>279</v>
      </c>
      <c r="B77" t="s">
        <v>167</v>
      </c>
      <c r="C77" t="s">
        <v>168</v>
      </c>
      <c r="D77">
        <v>2</v>
      </c>
      <c r="E77">
        <v>0</v>
      </c>
      <c r="F77">
        <v>2</v>
      </c>
      <c r="G77">
        <v>2</v>
      </c>
      <c r="H77">
        <v>2</v>
      </c>
      <c r="I77">
        <v>0</v>
      </c>
      <c r="J77">
        <v>1</v>
      </c>
      <c r="K77">
        <v>2</v>
      </c>
      <c r="M77">
        <v>2</v>
      </c>
      <c r="N77">
        <v>0</v>
      </c>
      <c r="O77">
        <v>2</v>
      </c>
      <c r="P77">
        <v>0</v>
      </c>
      <c r="Q77">
        <v>7</v>
      </c>
      <c r="R77">
        <v>1</v>
      </c>
      <c r="S77">
        <v>4</v>
      </c>
      <c r="T77">
        <v>1</v>
      </c>
      <c r="V77" t="b">
        <f t="shared" si="13"/>
        <v>1</v>
      </c>
      <c r="W77" t="b">
        <f t="shared" si="14"/>
        <v>1</v>
      </c>
      <c r="X77" t="b">
        <f t="shared" si="15"/>
        <v>1</v>
      </c>
      <c r="Y77" t="b">
        <f t="shared" si="16"/>
        <v>1</v>
      </c>
      <c r="Z77" t="b">
        <f t="shared" si="17"/>
        <v>1</v>
      </c>
      <c r="AA77" t="b">
        <f t="shared" si="18"/>
        <v>1</v>
      </c>
      <c r="AB77" t="b">
        <f t="shared" si="19"/>
        <v>1</v>
      </c>
      <c r="AC77" t="b">
        <f t="shared" si="20"/>
        <v>0</v>
      </c>
      <c r="AD77" t="b">
        <f t="shared" si="21"/>
        <v>0</v>
      </c>
      <c r="AE77" t="b">
        <f t="shared" si="22"/>
        <v>0</v>
      </c>
      <c r="AF77" t="b">
        <f t="shared" si="23"/>
        <v>0</v>
      </c>
      <c r="AG77" t="b">
        <f t="shared" si="24"/>
        <v>0</v>
      </c>
      <c r="AH77" t="b">
        <f t="shared" si="25"/>
        <v>0</v>
      </c>
    </row>
    <row r="78" spans="1:34" x14ac:dyDescent="0.2">
      <c r="A78" t="s">
        <v>292</v>
      </c>
      <c r="B78" t="s">
        <v>167</v>
      </c>
      <c r="C78" t="s">
        <v>168</v>
      </c>
      <c r="D78">
        <v>2</v>
      </c>
      <c r="E78">
        <v>1</v>
      </c>
      <c r="F78">
        <v>2</v>
      </c>
      <c r="G78">
        <v>2</v>
      </c>
      <c r="H78">
        <v>0</v>
      </c>
      <c r="I78">
        <v>0</v>
      </c>
      <c r="J78">
        <v>1</v>
      </c>
      <c r="K78">
        <v>2</v>
      </c>
      <c r="L78">
        <v>1</v>
      </c>
      <c r="M78">
        <v>2</v>
      </c>
      <c r="O78">
        <v>2</v>
      </c>
      <c r="P78">
        <v>0</v>
      </c>
      <c r="Q78">
        <v>6</v>
      </c>
      <c r="R78">
        <v>3</v>
      </c>
      <c r="S78">
        <v>3</v>
      </c>
      <c r="T78">
        <v>1</v>
      </c>
      <c r="V78" t="b">
        <f t="shared" si="13"/>
        <v>1</v>
      </c>
      <c r="W78" t="b">
        <f t="shared" si="14"/>
        <v>1</v>
      </c>
      <c r="X78" t="b">
        <f t="shared" si="15"/>
        <v>1</v>
      </c>
      <c r="Y78" t="b">
        <f t="shared" si="16"/>
        <v>1</v>
      </c>
      <c r="Z78" t="b">
        <f t="shared" si="17"/>
        <v>1</v>
      </c>
      <c r="AA78" t="b">
        <f t="shared" si="18"/>
        <v>1</v>
      </c>
      <c r="AB78" t="b">
        <f t="shared" si="19"/>
        <v>0</v>
      </c>
      <c r="AC78" t="b">
        <f t="shared" si="20"/>
        <v>0</v>
      </c>
      <c r="AD78" t="b">
        <f t="shared" si="21"/>
        <v>0</v>
      </c>
      <c r="AE78" t="b">
        <f t="shared" si="22"/>
        <v>0</v>
      </c>
      <c r="AF78" t="b">
        <f t="shared" si="23"/>
        <v>0</v>
      </c>
      <c r="AG78" t="b">
        <f t="shared" si="24"/>
        <v>0</v>
      </c>
      <c r="AH78" t="b">
        <f t="shared" si="25"/>
        <v>0</v>
      </c>
    </row>
    <row r="79" spans="1:34" x14ac:dyDescent="0.2">
      <c r="A79" t="s">
        <v>57</v>
      </c>
      <c r="B79" t="s">
        <v>174</v>
      </c>
      <c r="C79" t="s">
        <v>174</v>
      </c>
      <c r="D79">
        <v>0</v>
      </c>
      <c r="E79">
        <v>2</v>
      </c>
      <c r="F79">
        <v>2</v>
      </c>
      <c r="G79">
        <v>1</v>
      </c>
      <c r="H79">
        <v>0</v>
      </c>
      <c r="I79">
        <v>0</v>
      </c>
      <c r="J79">
        <v>2</v>
      </c>
      <c r="K79">
        <v>1</v>
      </c>
      <c r="L79">
        <v>2</v>
      </c>
      <c r="M79">
        <v>1</v>
      </c>
      <c r="N79">
        <v>1</v>
      </c>
      <c r="O79">
        <v>2</v>
      </c>
      <c r="P79">
        <v>0</v>
      </c>
      <c r="Q79">
        <v>5</v>
      </c>
      <c r="R79">
        <v>4</v>
      </c>
      <c r="S79">
        <v>4</v>
      </c>
      <c r="T79">
        <v>0</v>
      </c>
      <c r="V79" t="b">
        <f t="shared" si="13"/>
        <v>1</v>
      </c>
      <c r="W79" t="b">
        <f t="shared" si="14"/>
        <v>1</v>
      </c>
      <c r="X79" t="b">
        <f t="shared" si="15"/>
        <v>1</v>
      </c>
      <c r="Y79" t="b">
        <f t="shared" si="16"/>
        <v>1</v>
      </c>
      <c r="Z79" t="b">
        <f t="shared" si="17"/>
        <v>1</v>
      </c>
      <c r="AA79" t="b">
        <f t="shared" si="18"/>
        <v>0</v>
      </c>
      <c r="AB79" t="b">
        <f t="shared" si="19"/>
        <v>0</v>
      </c>
      <c r="AC79" t="b">
        <f t="shared" si="20"/>
        <v>0</v>
      </c>
      <c r="AD79" t="b">
        <f t="shared" si="21"/>
        <v>0</v>
      </c>
      <c r="AE79" t="b">
        <f t="shared" si="22"/>
        <v>0</v>
      </c>
      <c r="AF79" t="b">
        <f t="shared" si="23"/>
        <v>0</v>
      </c>
      <c r="AG79" t="b">
        <f t="shared" si="24"/>
        <v>0</v>
      </c>
      <c r="AH79" t="b">
        <f t="shared" si="25"/>
        <v>0</v>
      </c>
    </row>
    <row r="80" spans="1:34" x14ac:dyDescent="0.2">
      <c r="A80" t="s">
        <v>293</v>
      </c>
      <c r="B80" t="s">
        <v>175</v>
      </c>
      <c r="C80" t="s">
        <v>175</v>
      </c>
      <c r="D80">
        <v>0</v>
      </c>
      <c r="E80">
        <v>2</v>
      </c>
      <c r="F80">
        <v>2</v>
      </c>
      <c r="G80">
        <v>1</v>
      </c>
      <c r="H80">
        <v>0</v>
      </c>
      <c r="I80">
        <v>1</v>
      </c>
      <c r="J80">
        <v>1</v>
      </c>
      <c r="K80">
        <v>0</v>
      </c>
      <c r="L80">
        <v>1</v>
      </c>
      <c r="M80">
        <v>1</v>
      </c>
      <c r="N80">
        <v>1</v>
      </c>
      <c r="O80">
        <v>2</v>
      </c>
      <c r="P80">
        <v>0</v>
      </c>
      <c r="Q80">
        <v>3</v>
      </c>
      <c r="R80">
        <v>6</v>
      </c>
      <c r="S80">
        <v>4</v>
      </c>
      <c r="T80">
        <v>0</v>
      </c>
      <c r="V80" t="b">
        <f t="shared" si="13"/>
        <v>1</v>
      </c>
      <c r="W80" t="b">
        <f t="shared" si="14"/>
        <v>1</v>
      </c>
      <c r="X80" t="b">
        <f t="shared" si="15"/>
        <v>1</v>
      </c>
      <c r="Y80" t="b">
        <f t="shared" si="16"/>
        <v>0</v>
      </c>
      <c r="Z80" t="b">
        <f t="shared" si="17"/>
        <v>0</v>
      </c>
      <c r="AA80" t="b">
        <f t="shared" si="18"/>
        <v>0</v>
      </c>
      <c r="AB80" t="b">
        <f t="shared" si="19"/>
        <v>0</v>
      </c>
      <c r="AC80" t="b">
        <f t="shared" si="20"/>
        <v>0</v>
      </c>
      <c r="AD80" t="b">
        <f t="shared" si="21"/>
        <v>0</v>
      </c>
      <c r="AE80" t="b">
        <f t="shared" si="22"/>
        <v>0</v>
      </c>
      <c r="AF80" t="b">
        <f t="shared" si="23"/>
        <v>0</v>
      </c>
      <c r="AG80" t="b">
        <f t="shared" si="24"/>
        <v>0</v>
      </c>
      <c r="AH80" t="b">
        <f t="shared" si="25"/>
        <v>0</v>
      </c>
    </row>
    <row r="81" spans="1:34" x14ac:dyDescent="0.2">
      <c r="A81" t="s">
        <v>294</v>
      </c>
      <c r="B81" t="s">
        <v>295</v>
      </c>
      <c r="C81" t="s">
        <v>69</v>
      </c>
      <c r="D81">
        <v>1</v>
      </c>
      <c r="E81">
        <v>1</v>
      </c>
      <c r="F81">
        <v>2</v>
      </c>
      <c r="G81">
        <v>2</v>
      </c>
      <c r="H81">
        <v>0</v>
      </c>
      <c r="I81">
        <v>0</v>
      </c>
      <c r="J81">
        <v>2</v>
      </c>
      <c r="K81">
        <v>1</v>
      </c>
      <c r="L81">
        <v>1</v>
      </c>
      <c r="M81">
        <v>2</v>
      </c>
      <c r="O81">
        <v>2</v>
      </c>
      <c r="P81">
        <v>1</v>
      </c>
      <c r="Q81">
        <v>5</v>
      </c>
      <c r="R81">
        <v>5</v>
      </c>
      <c r="S81">
        <v>2</v>
      </c>
      <c r="T81">
        <v>1</v>
      </c>
      <c r="V81" t="b">
        <f t="shared" si="13"/>
        <v>1</v>
      </c>
      <c r="W81" t="b">
        <f t="shared" si="14"/>
        <v>1</v>
      </c>
      <c r="X81" t="b">
        <f t="shared" si="15"/>
        <v>1</v>
      </c>
      <c r="Y81" t="b">
        <f t="shared" si="16"/>
        <v>1</v>
      </c>
      <c r="Z81" t="b">
        <f t="shared" si="17"/>
        <v>1</v>
      </c>
      <c r="AA81" t="b">
        <f t="shared" si="18"/>
        <v>0</v>
      </c>
      <c r="AB81" t="b">
        <f t="shared" si="19"/>
        <v>0</v>
      </c>
      <c r="AC81" t="b">
        <f t="shared" si="20"/>
        <v>0</v>
      </c>
      <c r="AD81" t="b">
        <f t="shared" si="21"/>
        <v>0</v>
      </c>
      <c r="AE81" t="b">
        <f t="shared" si="22"/>
        <v>0</v>
      </c>
      <c r="AF81" t="b">
        <f t="shared" si="23"/>
        <v>0</v>
      </c>
      <c r="AG81" t="b">
        <f t="shared" si="24"/>
        <v>0</v>
      </c>
      <c r="AH81" t="b">
        <f t="shared" si="25"/>
        <v>0</v>
      </c>
    </row>
    <row r="82" spans="1:34" x14ac:dyDescent="0.2">
      <c r="A82" t="s">
        <v>296</v>
      </c>
      <c r="B82" t="s">
        <v>297</v>
      </c>
      <c r="C82" t="s">
        <v>297</v>
      </c>
      <c r="D82">
        <v>0</v>
      </c>
      <c r="E82">
        <v>2</v>
      </c>
      <c r="F82">
        <v>0</v>
      </c>
      <c r="G82">
        <v>0</v>
      </c>
      <c r="H82">
        <v>0</v>
      </c>
      <c r="I82">
        <v>1</v>
      </c>
      <c r="J82">
        <v>1</v>
      </c>
      <c r="K82">
        <v>0</v>
      </c>
      <c r="L82">
        <v>1</v>
      </c>
      <c r="M82">
        <v>0</v>
      </c>
      <c r="O82">
        <v>2</v>
      </c>
      <c r="P82">
        <v>0</v>
      </c>
      <c r="Q82">
        <v>2</v>
      </c>
      <c r="R82">
        <v>3</v>
      </c>
      <c r="S82">
        <v>7</v>
      </c>
      <c r="T82">
        <v>1</v>
      </c>
      <c r="V82" t="b">
        <f t="shared" si="13"/>
        <v>1</v>
      </c>
      <c r="W82" t="b">
        <f t="shared" si="14"/>
        <v>1</v>
      </c>
      <c r="X82" t="b">
        <f t="shared" si="15"/>
        <v>0</v>
      </c>
      <c r="Y82" t="b">
        <f t="shared" si="16"/>
        <v>0</v>
      </c>
      <c r="Z82" t="b">
        <f t="shared" si="17"/>
        <v>0</v>
      </c>
      <c r="AA82" t="b">
        <f t="shared" si="18"/>
        <v>0</v>
      </c>
      <c r="AB82" t="b">
        <f t="shared" si="19"/>
        <v>0</v>
      </c>
      <c r="AC82" t="b">
        <f t="shared" si="20"/>
        <v>0</v>
      </c>
      <c r="AD82" t="b">
        <f t="shared" si="21"/>
        <v>0</v>
      </c>
      <c r="AE82" t="b">
        <f t="shared" si="22"/>
        <v>0</v>
      </c>
      <c r="AF82" t="b">
        <f t="shared" si="23"/>
        <v>0</v>
      </c>
      <c r="AG82" t="b">
        <f t="shared" si="24"/>
        <v>0</v>
      </c>
      <c r="AH82" t="b">
        <f t="shared" si="25"/>
        <v>0</v>
      </c>
    </row>
    <row r="83" spans="1:34" x14ac:dyDescent="0.2">
      <c r="A83" t="s">
        <v>101</v>
      </c>
      <c r="B83" t="s">
        <v>178</v>
      </c>
      <c r="C83" t="s">
        <v>174</v>
      </c>
      <c r="D83">
        <v>2</v>
      </c>
      <c r="E83">
        <v>2</v>
      </c>
      <c r="F83">
        <v>2</v>
      </c>
      <c r="G83">
        <v>2</v>
      </c>
      <c r="H83">
        <v>2</v>
      </c>
      <c r="I83">
        <v>2</v>
      </c>
      <c r="J83">
        <v>2</v>
      </c>
      <c r="K83">
        <v>2</v>
      </c>
      <c r="L83">
        <v>1</v>
      </c>
      <c r="M83">
        <v>2</v>
      </c>
      <c r="N83">
        <v>2</v>
      </c>
      <c r="O83">
        <v>2</v>
      </c>
      <c r="P83">
        <v>1</v>
      </c>
      <c r="Q83">
        <v>11</v>
      </c>
      <c r="R83">
        <v>2</v>
      </c>
      <c r="S83">
        <v>0</v>
      </c>
      <c r="T83">
        <v>0</v>
      </c>
      <c r="V83" t="b">
        <f t="shared" si="13"/>
        <v>1</v>
      </c>
      <c r="W83" t="b">
        <f t="shared" si="14"/>
        <v>1</v>
      </c>
      <c r="X83" t="b">
        <f t="shared" si="15"/>
        <v>1</v>
      </c>
      <c r="Y83" t="b">
        <f t="shared" si="16"/>
        <v>1</v>
      </c>
      <c r="Z83" t="b">
        <f t="shared" si="17"/>
        <v>1</v>
      </c>
      <c r="AA83" t="b">
        <f t="shared" si="18"/>
        <v>1</v>
      </c>
      <c r="AB83" t="b">
        <f t="shared" si="19"/>
        <v>1</v>
      </c>
      <c r="AC83" t="b">
        <f t="shared" si="20"/>
        <v>1</v>
      </c>
      <c r="AD83" t="b">
        <f t="shared" si="21"/>
        <v>1</v>
      </c>
      <c r="AE83" t="b">
        <f t="shared" si="22"/>
        <v>1</v>
      </c>
      <c r="AF83" t="b">
        <f t="shared" si="23"/>
        <v>1</v>
      </c>
      <c r="AG83" t="b">
        <f t="shared" si="24"/>
        <v>0</v>
      </c>
      <c r="AH83" t="b">
        <f t="shared" si="25"/>
        <v>0</v>
      </c>
    </row>
    <row r="84" spans="1:34" x14ac:dyDescent="0.2">
      <c r="A84" t="s">
        <v>298</v>
      </c>
      <c r="B84" t="s">
        <v>299</v>
      </c>
      <c r="C84" t="s">
        <v>300</v>
      </c>
      <c r="D84">
        <v>1</v>
      </c>
      <c r="E84">
        <v>2</v>
      </c>
      <c r="F84">
        <v>2</v>
      </c>
      <c r="G84">
        <v>2</v>
      </c>
      <c r="H84">
        <v>1</v>
      </c>
      <c r="I84">
        <v>1</v>
      </c>
      <c r="J84">
        <v>1</v>
      </c>
      <c r="K84">
        <v>2</v>
      </c>
      <c r="L84">
        <v>1</v>
      </c>
      <c r="M84">
        <v>2</v>
      </c>
      <c r="N84">
        <v>0</v>
      </c>
      <c r="O84">
        <v>2</v>
      </c>
      <c r="P84">
        <v>0</v>
      </c>
      <c r="Q84">
        <v>6</v>
      </c>
      <c r="R84">
        <v>5</v>
      </c>
      <c r="S84">
        <v>2</v>
      </c>
      <c r="T84">
        <v>0</v>
      </c>
      <c r="V84" t="b">
        <f t="shared" si="13"/>
        <v>1</v>
      </c>
      <c r="W84" t="b">
        <f t="shared" si="14"/>
        <v>1</v>
      </c>
      <c r="X84" t="b">
        <f t="shared" si="15"/>
        <v>1</v>
      </c>
      <c r="Y84" t="b">
        <f t="shared" si="16"/>
        <v>1</v>
      </c>
      <c r="Z84" t="b">
        <f t="shared" si="17"/>
        <v>1</v>
      </c>
      <c r="AA84" t="b">
        <f t="shared" si="18"/>
        <v>1</v>
      </c>
      <c r="AB84" t="b">
        <f t="shared" si="19"/>
        <v>0</v>
      </c>
      <c r="AC84" t="b">
        <f t="shared" si="20"/>
        <v>0</v>
      </c>
      <c r="AD84" t="b">
        <f t="shared" si="21"/>
        <v>0</v>
      </c>
      <c r="AE84" t="b">
        <f t="shared" si="22"/>
        <v>0</v>
      </c>
      <c r="AF84" t="b">
        <f t="shared" si="23"/>
        <v>0</v>
      </c>
      <c r="AG84" t="b">
        <f t="shared" si="24"/>
        <v>0</v>
      </c>
      <c r="AH84" t="b">
        <f t="shared" si="25"/>
        <v>0</v>
      </c>
    </row>
    <row r="85" spans="1:34" x14ac:dyDescent="0.2">
      <c r="A85" t="s">
        <v>101</v>
      </c>
      <c r="B85" t="s">
        <v>185</v>
      </c>
      <c r="C85" t="s">
        <v>185</v>
      </c>
      <c r="D85">
        <v>0</v>
      </c>
      <c r="E85">
        <v>2</v>
      </c>
      <c r="F85">
        <v>1</v>
      </c>
      <c r="G85">
        <v>2</v>
      </c>
      <c r="H85">
        <v>0</v>
      </c>
      <c r="I85">
        <v>1</v>
      </c>
      <c r="J85">
        <v>1</v>
      </c>
      <c r="K85">
        <v>1</v>
      </c>
      <c r="L85">
        <v>2</v>
      </c>
      <c r="M85">
        <v>1</v>
      </c>
      <c r="N85">
        <v>1</v>
      </c>
      <c r="O85">
        <v>2</v>
      </c>
      <c r="P85">
        <v>1</v>
      </c>
      <c r="Q85">
        <v>4</v>
      </c>
      <c r="R85">
        <v>7</v>
      </c>
      <c r="S85">
        <v>2</v>
      </c>
      <c r="T85">
        <v>0</v>
      </c>
      <c r="V85" t="b">
        <f t="shared" si="13"/>
        <v>1</v>
      </c>
      <c r="W85" t="b">
        <f t="shared" si="14"/>
        <v>1</v>
      </c>
      <c r="X85" t="b">
        <f t="shared" si="15"/>
        <v>1</v>
      </c>
      <c r="Y85" t="b">
        <f t="shared" si="16"/>
        <v>1</v>
      </c>
      <c r="Z85" t="b">
        <f t="shared" si="17"/>
        <v>0</v>
      </c>
      <c r="AA85" t="b">
        <f t="shared" si="18"/>
        <v>0</v>
      </c>
      <c r="AB85" t="b">
        <f t="shared" si="19"/>
        <v>0</v>
      </c>
      <c r="AC85" t="b">
        <f t="shared" si="20"/>
        <v>0</v>
      </c>
      <c r="AD85" t="b">
        <f t="shared" si="21"/>
        <v>0</v>
      </c>
      <c r="AE85" t="b">
        <f t="shared" si="22"/>
        <v>0</v>
      </c>
      <c r="AF85" t="b">
        <f t="shared" si="23"/>
        <v>0</v>
      </c>
      <c r="AG85" t="b">
        <f t="shared" si="24"/>
        <v>0</v>
      </c>
      <c r="AH85" t="b">
        <f t="shared" si="25"/>
        <v>0</v>
      </c>
    </row>
    <row r="86" spans="1:34" x14ac:dyDescent="0.2">
      <c r="A86" t="s">
        <v>301</v>
      </c>
      <c r="B86" t="s">
        <v>190</v>
      </c>
      <c r="C86" t="s">
        <v>190</v>
      </c>
      <c r="D86">
        <v>0</v>
      </c>
      <c r="E86">
        <v>0</v>
      </c>
      <c r="F86">
        <v>1</v>
      </c>
      <c r="G86">
        <v>0</v>
      </c>
      <c r="H86">
        <v>1</v>
      </c>
      <c r="I86">
        <v>0</v>
      </c>
      <c r="J86">
        <v>1</v>
      </c>
      <c r="K86">
        <v>1</v>
      </c>
      <c r="L86">
        <v>1</v>
      </c>
      <c r="M86">
        <v>2</v>
      </c>
      <c r="P86">
        <v>1</v>
      </c>
      <c r="Q86">
        <v>1</v>
      </c>
      <c r="R86">
        <v>6</v>
      </c>
      <c r="S86">
        <v>4</v>
      </c>
      <c r="T86">
        <v>2</v>
      </c>
      <c r="V86" t="b">
        <f t="shared" si="13"/>
        <v>1</v>
      </c>
      <c r="W86" t="b">
        <f t="shared" si="14"/>
        <v>0</v>
      </c>
      <c r="X86" t="b">
        <f t="shared" si="15"/>
        <v>0</v>
      </c>
      <c r="Y86" t="b">
        <f t="shared" si="16"/>
        <v>0</v>
      </c>
      <c r="Z86" t="b">
        <f t="shared" si="17"/>
        <v>0</v>
      </c>
      <c r="AA86" t="b">
        <f t="shared" si="18"/>
        <v>0</v>
      </c>
      <c r="AB86" t="b">
        <f t="shared" si="19"/>
        <v>0</v>
      </c>
      <c r="AC86" t="b">
        <f t="shared" si="20"/>
        <v>0</v>
      </c>
      <c r="AD86" t="b">
        <f t="shared" si="21"/>
        <v>0</v>
      </c>
      <c r="AE86" t="b">
        <f t="shared" si="22"/>
        <v>0</v>
      </c>
      <c r="AF86" t="b">
        <f t="shared" si="23"/>
        <v>0</v>
      </c>
      <c r="AG86" t="b">
        <f t="shared" si="24"/>
        <v>0</v>
      </c>
      <c r="AH86" t="b">
        <f t="shared" si="25"/>
        <v>0</v>
      </c>
    </row>
    <row r="87" spans="1:34" x14ac:dyDescent="0.2">
      <c r="A87" t="s">
        <v>302</v>
      </c>
      <c r="B87" t="s">
        <v>303</v>
      </c>
      <c r="C87" t="s">
        <v>96</v>
      </c>
      <c r="D87">
        <v>2</v>
      </c>
      <c r="E87">
        <v>1</v>
      </c>
      <c r="F87">
        <v>2</v>
      </c>
      <c r="G87">
        <v>2</v>
      </c>
      <c r="H87">
        <v>2</v>
      </c>
      <c r="I87">
        <v>2</v>
      </c>
      <c r="J87">
        <v>2</v>
      </c>
      <c r="K87">
        <v>2</v>
      </c>
      <c r="L87">
        <v>1</v>
      </c>
      <c r="M87">
        <v>2</v>
      </c>
      <c r="N87">
        <v>1</v>
      </c>
      <c r="O87">
        <v>2</v>
      </c>
      <c r="P87">
        <v>0</v>
      </c>
      <c r="Q87">
        <v>9</v>
      </c>
      <c r="R87">
        <v>3</v>
      </c>
      <c r="S87">
        <v>1</v>
      </c>
      <c r="T87">
        <v>0</v>
      </c>
      <c r="V87" t="b">
        <f t="shared" si="13"/>
        <v>1</v>
      </c>
      <c r="W87" t="b">
        <f t="shared" si="14"/>
        <v>1</v>
      </c>
      <c r="X87" t="b">
        <f t="shared" si="15"/>
        <v>1</v>
      </c>
      <c r="Y87" t="b">
        <f t="shared" si="16"/>
        <v>1</v>
      </c>
      <c r="Z87" t="b">
        <f t="shared" si="17"/>
        <v>1</v>
      </c>
      <c r="AA87" t="b">
        <f t="shared" si="18"/>
        <v>1</v>
      </c>
      <c r="AB87" t="b">
        <f t="shared" si="19"/>
        <v>1</v>
      </c>
      <c r="AC87" t="b">
        <f t="shared" si="20"/>
        <v>1</v>
      </c>
      <c r="AD87" t="b">
        <f t="shared" si="21"/>
        <v>1</v>
      </c>
      <c r="AE87" t="b">
        <f t="shared" si="22"/>
        <v>0</v>
      </c>
      <c r="AF87" t="b">
        <f t="shared" si="23"/>
        <v>0</v>
      </c>
      <c r="AG87" t="b">
        <f t="shared" si="24"/>
        <v>0</v>
      </c>
      <c r="AH87" t="b">
        <f t="shared" si="25"/>
        <v>0</v>
      </c>
    </row>
    <row r="88" spans="1:34" x14ac:dyDescent="0.2">
      <c r="A88" t="s">
        <v>304</v>
      </c>
      <c r="B88" t="s">
        <v>305</v>
      </c>
      <c r="C88" t="s">
        <v>306</v>
      </c>
      <c r="D88">
        <v>0</v>
      </c>
      <c r="E88">
        <v>1</v>
      </c>
      <c r="F88">
        <v>1</v>
      </c>
      <c r="G88">
        <v>1</v>
      </c>
      <c r="H88">
        <v>0</v>
      </c>
      <c r="I88">
        <v>0</v>
      </c>
      <c r="J88">
        <v>1</v>
      </c>
      <c r="K88">
        <v>0</v>
      </c>
      <c r="L88">
        <v>1</v>
      </c>
      <c r="M88">
        <v>1</v>
      </c>
      <c r="N88">
        <v>1</v>
      </c>
      <c r="O88">
        <v>2</v>
      </c>
      <c r="P88">
        <v>0</v>
      </c>
      <c r="Q88">
        <v>1</v>
      </c>
      <c r="R88">
        <v>7</v>
      </c>
      <c r="S88">
        <v>5</v>
      </c>
      <c r="T88">
        <v>0</v>
      </c>
      <c r="V88" t="b">
        <f t="shared" si="13"/>
        <v>1</v>
      </c>
      <c r="W88" t="b">
        <f t="shared" si="14"/>
        <v>0</v>
      </c>
      <c r="X88" t="b">
        <f t="shared" si="15"/>
        <v>0</v>
      </c>
      <c r="Y88" t="b">
        <f t="shared" si="16"/>
        <v>0</v>
      </c>
      <c r="Z88" t="b">
        <f t="shared" si="17"/>
        <v>0</v>
      </c>
      <c r="AA88" t="b">
        <f t="shared" si="18"/>
        <v>0</v>
      </c>
      <c r="AB88" t="b">
        <f t="shared" si="19"/>
        <v>0</v>
      </c>
      <c r="AC88" t="b">
        <f t="shared" si="20"/>
        <v>0</v>
      </c>
      <c r="AD88" t="b">
        <f t="shared" si="21"/>
        <v>0</v>
      </c>
      <c r="AE88" t="b">
        <f t="shared" si="22"/>
        <v>0</v>
      </c>
      <c r="AF88" t="b">
        <f t="shared" si="23"/>
        <v>0</v>
      </c>
      <c r="AG88" t="b">
        <f t="shared" si="24"/>
        <v>0</v>
      </c>
      <c r="AH88" t="b">
        <f t="shared" si="25"/>
        <v>0</v>
      </c>
    </row>
    <row r="89" spans="1:34" x14ac:dyDescent="0.2">
      <c r="A89" t="s">
        <v>307</v>
      </c>
      <c r="B89" t="s">
        <v>199</v>
      </c>
      <c r="C89" t="s">
        <v>199</v>
      </c>
      <c r="D89">
        <v>0</v>
      </c>
      <c r="E89">
        <v>1</v>
      </c>
      <c r="F89">
        <v>1</v>
      </c>
      <c r="G89">
        <v>0</v>
      </c>
      <c r="H89">
        <v>0</v>
      </c>
      <c r="I89">
        <v>0</v>
      </c>
      <c r="J89">
        <v>1</v>
      </c>
      <c r="K89">
        <v>0</v>
      </c>
      <c r="L89">
        <v>0</v>
      </c>
      <c r="M89">
        <v>1</v>
      </c>
      <c r="N89">
        <v>0</v>
      </c>
      <c r="O89">
        <v>2</v>
      </c>
      <c r="P89">
        <v>0</v>
      </c>
      <c r="Q89">
        <v>1</v>
      </c>
      <c r="R89">
        <v>4</v>
      </c>
      <c r="S89">
        <v>8</v>
      </c>
      <c r="T89">
        <v>0</v>
      </c>
      <c r="V89" t="b">
        <f t="shared" si="13"/>
        <v>1</v>
      </c>
      <c r="W89" t="b">
        <f t="shared" si="14"/>
        <v>0</v>
      </c>
      <c r="X89" t="b">
        <f t="shared" si="15"/>
        <v>0</v>
      </c>
      <c r="Y89" t="b">
        <f t="shared" si="16"/>
        <v>0</v>
      </c>
      <c r="Z89" t="b">
        <f t="shared" si="17"/>
        <v>0</v>
      </c>
      <c r="AA89" t="b">
        <f t="shared" si="18"/>
        <v>0</v>
      </c>
      <c r="AB89" t="b">
        <f t="shared" si="19"/>
        <v>0</v>
      </c>
      <c r="AC89" t="b">
        <f t="shared" si="20"/>
        <v>0</v>
      </c>
      <c r="AD89" t="b">
        <f t="shared" si="21"/>
        <v>0</v>
      </c>
      <c r="AE89" t="b">
        <f t="shared" si="22"/>
        <v>0</v>
      </c>
      <c r="AF89" t="b">
        <f t="shared" si="23"/>
        <v>0</v>
      </c>
      <c r="AG89" t="b">
        <f t="shared" si="24"/>
        <v>0</v>
      </c>
      <c r="AH89" t="b">
        <f t="shared" si="25"/>
        <v>0</v>
      </c>
    </row>
    <row r="90" spans="1:34" x14ac:dyDescent="0.2">
      <c r="A90" t="s">
        <v>308</v>
      </c>
      <c r="B90" t="s">
        <v>199</v>
      </c>
      <c r="C90" t="s">
        <v>199</v>
      </c>
      <c r="D90">
        <v>0</v>
      </c>
      <c r="E90">
        <v>2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2</v>
      </c>
      <c r="P90">
        <v>0</v>
      </c>
      <c r="Q90">
        <v>2</v>
      </c>
      <c r="R90">
        <v>0</v>
      </c>
      <c r="S90">
        <v>11</v>
      </c>
      <c r="T90">
        <v>0</v>
      </c>
      <c r="V90" t="b">
        <f t="shared" si="13"/>
        <v>1</v>
      </c>
      <c r="W90" t="b">
        <f t="shared" si="14"/>
        <v>1</v>
      </c>
      <c r="X90" t="b">
        <f t="shared" si="15"/>
        <v>0</v>
      </c>
      <c r="Y90" t="b">
        <f t="shared" si="16"/>
        <v>0</v>
      </c>
      <c r="Z90" t="b">
        <f t="shared" si="17"/>
        <v>0</v>
      </c>
      <c r="AA90" t="b">
        <f t="shared" si="18"/>
        <v>0</v>
      </c>
      <c r="AB90" t="b">
        <f t="shared" si="19"/>
        <v>0</v>
      </c>
      <c r="AC90" t="b">
        <f t="shared" si="20"/>
        <v>0</v>
      </c>
      <c r="AD90" t="b">
        <f t="shared" si="21"/>
        <v>0</v>
      </c>
      <c r="AE90" t="b">
        <f t="shared" si="22"/>
        <v>0</v>
      </c>
      <c r="AF90" t="b">
        <f t="shared" si="23"/>
        <v>0</v>
      </c>
      <c r="AG90" t="b">
        <f t="shared" si="24"/>
        <v>0</v>
      </c>
      <c r="AH90" t="b">
        <f t="shared" si="25"/>
        <v>0</v>
      </c>
    </row>
    <row r="91" spans="1:34" x14ac:dyDescent="0.2">
      <c r="A91" t="s">
        <v>309</v>
      </c>
      <c r="B91" t="s">
        <v>310</v>
      </c>
      <c r="C91" t="s">
        <v>310</v>
      </c>
      <c r="D91">
        <v>0</v>
      </c>
      <c r="E91">
        <v>1</v>
      </c>
      <c r="F91">
        <v>0</v>
      </c>
      <c r="G91">
        <v>0</v>
      </c>
      <c r="H91">
        <v>2</v>
      </c>
      <c r="I91">
        <v>0</v>
      </c>
      <c r="J91">
        <v>1</v>
      </c>
      <c r="K91">
        <v>0</v>
      </c>
      <c r="L91">
        <v>2</v>
      </c>
      <c r="M91">
        <v>0</v>
      </c>
      <c r="N91">
        <v>0</v>
      </c>
      <c r="O91">
        <v>0</v>
      </c>
      <c r="P91">
        <v>0</v>
      </c>
      <c r="Q91">
        <v>2</v>
      </c>
      <c r="R91">
        <v>2</v>
      </c>
      <c r="S91">
        <v>9</v>
      </c>
      <c r="T91">
        <v>0</v>
      </c>
      <c r="V91" t="b">
        <f t="shared" si="13"/>
        <v>1</v>
      </c>
      <c r="W91" t="b">
        <f t="shared" si="14"/>
        <v>1</v>
      </c>
      <c r="X91" t="b">
        <f t="shared" si="15"/>
        <v>0</v>
      </c>
      <c r="Y91" t="b">
        <f t="shared" si="16"/>
        <v>0</v>
      </c>
      <c r="Z91" t="b">
        <f t="shared" si="17"/>
        <v>0</v>
      </c>
      <c r="AA91" t="b">
        <f t="shared" si="18"/>
        <v>0</v>
      </c>
      <c r="AB91" t="b">
        <f t="shared" si="19"/>
        <v>0</v>
      </c>
      <c r="AC91" t="b">
        <f t="shared" si="20"/>
        <v>0</v>
      </c>
      <c r="AD91" t="b">
        <f t="shared" si="21"/>
        <v>0</v>
      </c>
      <c r="AE91" t="b">
        <f t="shared" si="22"/>
        <v>0</v>
      </c>
      <c r="AF91" t="b">
        <f t="shared" si="23"/>
        <v>0</v>
      </c>
      <c r="AG91" t="b">
        <f t="shared" si="24"/>
        <v>0</v>
      </c>
      <c r="AH91" t="b">
        <f t="shared" si="25"/>
        <v>0</v>
      </c>
    </row>
    <row r="92" spans="1:34" x14ac:dyDescent="0.2">
      <c r="A92" t="s">
        <v>311</v>
      </c>
      <c r="B92" t="s">
        <v>201</v>
      </c>
      <c r="C92" t="s">
        <v>53</v>
      </c>
      <c r="D92">
        <v>1</v>
      </c>
      <c r="E92">
        <v>1</v>
      </c>
      <c r="F92">
        <v>2</v>
      </c>
      <c r="G92">
        <v>2</v>
      </c>
      <c r="H92">
        <v>2</v>
      </c>
      <c r="I92">
        <v>2</v>
      </c>
      <c r="J92">
        <v>2</v>
      </c>
      <c r="K92">
        <v>1</v>
      </c>
      <c r="L92">
        <v>1</v>
      </c>
      <c r="M92">
        <v>2</v>
      </c>
      <c r="N92">
        <v>1</v>
      </c>
      <c r="O92">
        <v>2</v>
      </c>
      <c r="P92">
        <v>1</v>
      </c>
      <c r="Q92">
        <v>7</v>
      </c>
      <c r="R92">
        <v>6</v>
      </c>
      <c r="S92">
        <v>0</v>
      </c>
      <c r="T92">
        <v>0</v>
      </c>
      <c r="V92" t="b">
        <f t="shared" si="13"/>
        <v>1</v>
      </c>
      <c r="W92" t="b">
        <f t="shared" si="14"/>
        <v>1</v>
      </c>
      <c r="X92" t="b">
        <f t="shared" si="15"/>
        <v>1</v>
      </c>
      <c r="Y92" t="b">
        <f t="shared" si="16"/>
        <v>1</v>
      </c>
      <c r="Z92" t="b">
        <f t="shared" si="17"/>
        <v>1</v>
      </c>
      <c r="AA92" t="b">
        <f t="shared" si="18"/>
        <v>1</v>
      </c>
      <c r="AB92" t="b">
        <f t="shared" si="19"/>
        <v>1</v>
      </c>
      <c r="AC92" t="b">
        <f t="shared" si="20"/>
        <v>0</v>
      </c>
      <c r="AD92" t="b">
        <f t="shared" si="21"/>
        <v>0</v>
      </c>
      <c r="AE92" t="b">
        <f t="shared" si="22"/>
        <v>0</v>
      </c>
      <c r="AF92" t="b">
        <f t="shared" si="23"/>
        <v>0</v>
      </c>
      <c r="AG92" t="b">
        <f t="shared" si="24"/>
        <v>0</v>
      </c>
      <c r="AH92" t="b">
        <f t="shared" si="25"/>
        <v>0</v>
      </c>
    </row>
    <row r="93" spans="1:34" x14ac:dyDescent="0.2">
      <c r="A93" t="s">
        <v>312</v>
      </c>
      <c r="B93" t="s">
        <v>201</v>
      </c>
      <c r="C93" t="s">
        <v>53</v>
      </c>
      <c r="D93">
        <v>0</v>
      </c>
      <c r="E93">
        <v>1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2</v>
      </c>
      <c r="S93">
        <v>10</v>
      </c>
      <c r="T93">
        <v>1</v>
      </c>
      <c r="V93" t="b">
        <f t="shared" si="13"/>
        <v>0</v>
      </c>
      <c r="W93" t="b">
        <f t="shared" si="14"/>
        <v>0</v>
      </c>
      <c r="X93" t="b">
        <f t="shared" si="15"/>
        <v>0</v>
      </c>
      <c r="Y93" t="b">
        <f t="shared" si="16"/>
        <v>0</v>
      </c>
      <c r="Z93" t="b">
        <f t="shared" si="17"/>
        <v>0</v>
      </c>
      <c r="AA93" t="b">
        <f t="shared" si="18"/>
        <v>0</v>
      </c>
      <c r="AB93" t="b">
        <f t="shared" si="19"/>
        <v>0</v>
      </c>
      <c r="AC93" t="b">
        <f t="shared" si="20"/>
        <v>0</v>
      </c>
      <c r="AD93" t="b">
        <f t="shared" si="21"/>
        <v>0</v>
      </c>
      <c r="AE93" t="b">
        <f t="shared" si="22"/>
        <v>0</v>
      </c>
      <c r="AF93" t="b">
        <f t="shared" si="23"/>
        <v>0</v>
      </c>
      <c r="AG93" t="b">
        <f t="shared" si="24"/>
        <v>0</v>
      </c>
      <c r="AH93" t="b">
        <f t="shared" si="25"/>
        <v>0</v>
      </c>
    </row>
    <row r="94" spans="1:34" x14ac:dyDescent="0.2">
      <c r="A94" t="s">
        <v>313</v>
      </c>
      <c r="B94" t="s">
        <v>201</v>
      </c>
      <c r="C94" t="s">
        <v>53</v>
      </c>
      <c r="D94">
        <v>2</v>
      </c>
      <c r="E94">
        <v>1</v>
      </c>
      <c r="F94">
        <v>2</v>
      </c>
      <c r="G94">
        <v>2</v>
      </c>
      <c r="H94">
        <v>2</v>
      </c>
      <c r="I94">
        <v>0</v>
      </c>
      <c r="J94">
        <v>1</v>
      </c>
      <c r="K94">
        <v>0</v>
      </c>
      <c r="L94">
        <v>1</v>
      </c>
      <c r="M94">
        <v>2</v>
      </c>
      <c r="N94">
        <v>1</v>
      </c>
      <c r="O94">
        <v>2</v>
      </c>
      <c r="P94">
        <v>2</v>
      </c>
      <c r="Q94">
        <v>7</v>
      </c>
      <c r="R94">
        <v>4</v>
      </c>
      <c r="S94">
        <v>2</v>
      </c>
      <c r="T94">
        <v>0</v>
      </c>
      <c r="V94" t="b">
        <f t="shared" si="13"/>
        <v>1</v>
      </c>
      <c r="W94" t="b">
        <f t="shared" si="14"/>
        <v>1</v>
      </c>
      <c r="X94" t="b">
        <f t="shared" si="15"/>
        <v>1</v>
      </c>
      <c r="Y94" t="b">
        <f t="shared" si="16"/>
        <v>1</v>
      </c>
      <c r="Z94" t="b">
        <f t="shared" si="17"/>
        <v>1</v>
      </c>
      <c r="AA94" t="b">
        <f t="shared" si="18"/>
        <v>1</v>
      </c>
      <c r="AB94" t="b">
        <f t="shared" si="19"/>
        <v>1</v>
      </c>
      <c r="AC94" t="b">
        <f t="shared" si="20"/>
        <v>0</v>
      </c>
      <c r="AD94" t="b">
        <f t="shared" si="21"/>
        <v>0</v>
      </c>
      <c r="AE94" t="b">
        <f t="shared" si="22"/>
        <v>0</v>
      </c>
      <c r="AF94" t="b">
        <f t="shared" si="23"/>
        <v>0</v>
      </c>
      <c r="AG94" t="b">
        <f t="shared" si="24"/>
        <v>0</v>
      </c>
      <c r="AH94" t="b">
        <f t="shared" si="25"/>
        <v>0</v>
      </c>
    </row>
    <row r="95" spans="1:34" x14ac:dyDescent="0.2">
      <c r="A95">
        <v>2007</v>
      </c>
      <c r="B95" t="s">
        <v>314</v>
      </c>
      <c r="C95" t="s">
        <v>314</v>
      </c>
      <c r="D95">
        <v>0</v>
      </c>
      <c r="E95">
        <v>1</v>
      </c>
      <c r="F95">
        <v>1</v>
      </c>
      <c r="G95">
        <v>0</v>
      </c>
      <c r="H95">
        <v>1</v>
      </c>
      <c r="I95">
        <v>0</v>
      </c>
      <c r="J95">
        <v>1</v>
      </c>
      <c r="K95">
        <v>0</v>
      </c>
      <c r="L95">
        <v>0</v>
      </c>
      <c r="M95">
        <v>0</v>
      </c>
      <c r="N95">
        <v>1</v>
      </c>
      <c r="O95">
        <v>2</v>
      </c>
      <c r="P95">
        <v>0</v>
      </c>
      <c r="Q95">
        <v>1</v>
      </c>
      <c r="R95">
        <v>5</v>
      </c>
      <c r="S95">
        <v>7</v>
      </c>
      <c r="T95">
        <v>0</v>
      </c>
      <c r="V95" t="b">
        <f t="shared" si="13"/>
        <v>1</v>
      </c>
      <c r="W95" t="b">
        <f t="shared" si="14"/>
        <v>0</v>
      </c>
      <c r="X95" t="b">
        <f t="shared" si="15"/>
        <v>0</v>
      </c>
      <c r="Y95" t="b">
        <f t="shared" si="16"/>
        <v>0</v>
      </c>
      <c r="Z95" t="b">
        <f t="shared" si="17"/>
        <v>0</v>
      </c>
      <c r="AA95" t="b">
        <f t="shared" si="18"/>
        <v>0</v>
      </c>
      <c r="AB95" t="b">
        <f t="shared" si="19"/>
        <v>0</v>
      </c>
      <c r="AC95" t="b">
        <f t="shared" si="20"/>
        <v>0</v>
      </c>
      <c r="AD95" t="b">
        <f t="shared" si="21"/>
        <v>0</v>
      </c>
      <c r="AE95" t="b">
        <f t="shared" si="22"/>
        <v>0</v>
      </c>
      <c r="AF95" t="b">
        <f t="shared" si="23"/>
        <v>0</v>
      </c>
      <c r="AG95" t="b">
        <f t="shared" si="24"/>
        <v>0</v>
      </c>
      <c r="AH95" t="b">
        <f t="shared" si="25"/>
        <v>0</v>
      </c>
    </row>
    <row r="96" spans="1:34" x14ac:dyDescent="0.2">
      <c r="A96" t="s">
        <v>315</v>
      </c>
      <c r="B96" t="s">
        <v>206</v>
      </c>
      <c r="C96" t="s">
        <v>206</v>
      </c>
      <c r="D96">
        <v>2</v>
      </c>
      <c r="E96">
        <v>0</v>
      </c>
      <c r="F96">
        <v>2</v>
      </c>
      <c r="G96">
        <v>2</v>
      </c>
      <c r="H96">
        <v>2</v>
      </c>
      <c r="I96">
        <v>0</v>
      </c>
      <c r="J96">
        <v>2</v>
      </c>
      <c r="K96">
        <v>1</v>
      </c>
      <c r="L96">
        <v>1</v>
      </c>
      <c r="M96">
        <v>1</v>
      </c>
      <c r="N96">
        <v>1</v>
      </c>
      <c r="O96">
        <v>2</v>
      </c>
      <c r="P96">
        <v>2</v>
      </c>
      <c r="Q96">
        <v>7</v>
      </c>
      <c r="R96">
        <v>4</v>
      </c>
      <c r="S96">
        <v>2</v>
      </c>
      <c r="T96">
        <v>0</v>
      </c>
      <c r="V96" t="b">
        <f t="shared" si="13"/>
        <v>1</v>
      </c>
      <c r="W96" t="b">
        <f t="shared" si="14"/>
        <v>1</v>
      </c>
      <c r="X96" t="b">
        <f t="shared" si="15"/>
        <v>1</v>
      </c>
      <c r="Y96" t="b">
        <f t="shared" si="16"/>
        <v>1</v>
      </c>
      <c r="Z96" t="b">
        <f t="shared" si="17"/>
        <v>1</v>
      </c>
      <c r="AA96" t="b">
        <f t="shared" si="18"/>
        <v>1</v>
      </c>
      <c r="AB96" t="b">
        <f t="shared" si="19"/>
        <v>1</v>
      </c>
      <c r="AC96" t="b">
        <f t="shared" si="20"/>
        <v>0</v>
      </c>
      <c r="AD96" t="b">
        <f t="shared" si="21"/>
        <v>0</v>
      </c>
      <c r="AE96" t="b">
        <f t="shared" si="22"/>
        <v>0</v>
      </c>
      <c r="AF96" t="b">
        <f t="shared" si="23"/>
        <v>0</v>
      </c>
      <c r="AG96" t="b">
        <f t="shared" si="24"/>
        <v>0</v>
      </c>
      <c r="AH96" t="b">
        <f t="shared" si="25"/>
        <v>0</v>
      </c>
    </row>
    <row r="97" spans="1:34" x14ac:dyDescent="0.2">
      <c r="A97" t="s">
        <v>316</v>
      </c>
      <c r="B97" t="s">
        <v>206</v>
      </c>
      <c r="C97" t="s">
        <v>206</v>
      </c>
      <c r="D97">
        <v>1</v>
      </c>
      <c r="E97">
        <v>2</v>
      </c>
      <c r="F97">
        <v>2</v>
      </c>
      <c r="G97">
        <v>2</v>
      </c>
      <c r="H97">
        <v>1</v>
      </c>
      <c r="I97">
        <v>0</v>
      </c>
      <c r="J97">
        <v>2</v>
      </c>
      <c r="K97">
        <v>1</v>
      </c>
      <c r="L97">
        <v>1</v>
      </c>
      <c r="M97">
        <v>2</v>
      </c>
      <c r="N97">
        <v>1</v>
      </c>
      <c r="O97">
        <v>2</v>
      </c>
      <c r="P97">
        <v>1</v>
      </c>
      <c r="Q97">
        <v>6</v>
      </c>
      <c r="R97">
        <v>6</v>
      </c>
      <c r="S97">
        <v>1</v>
      </c>
      <c r="T97">
        <v>0</v>
      </c>
      <c r="V97" t="b">
        <f t="shared" si="13"/>
        <v>1</v>
      </c>
      <c r="W97" t="b">
        <f t="shared" si="14"/>
        <v>1</v>
      </c>
      <c r="X97" t="b">
        <f t="shared" si="15"/>
        <v>1</v>
      </c>
      <c r="Y97" t="b">
        <f t="shared" si="16"/>
        <v>1</v>
      </c>
      <c r="Z97" t="b">
        <f t="shared" si="17"/>
        <v>1</v>
      </c>
      <c r="AA97" t="b">
        <f t="shared" si="18"/>
        <v>1</v>
      </c>
      <c r="AB97" t="b">
        <f t="shared" si="19"/>
        <v>0</v>
      </c>
      <c r="AC97" t="b">
        <f t="shared" si="20"/>
        <v>0</v>
      </c>
      <c r="AD97" t="b">
        <f t="shared" si="21"/>
        <v>0</v>
      </c>
      <c r="AE97" t="b">
        <f t="shared" si="22"/>
        <v>0</v>
      </c>
      <c r="AF97" t="b">
        <f t="shared" si="23"/>
        <v>0</v>
      </c>
      <c r="AG97" t="b">
        <f t="shared" si="24"/>
        <v>0</v>
      </c>
      <c r="AH97" t="b">
        <f t="shared" si="25"/>
        <v>0</v>
      </c>
    </row>
    <row r="98" spans="1:34" x14ac:dyDescent="0.2">
      <c r="A98" t="s">
        <v>317</v>
      </c>
      <c r="B98" t="s">
        <v>206</v>
      </c>
      <c r="C98" t="s">
        <v>206</v>
      </c>
      <c r="D98">
        <v>1</v>
      </c>
      <c r="E98">
        <v>1</v>
      </c>
      <c r="F98">
        <v>1</v>
      </c>
      <c r="G98">
        <v>2</v>
      </c>
      <c r="H98">
        <v>1</v>
      </c>
      <c r="I98">
        <v>2</v>
      </c>
      <c r="J98">
        <v>1</v>
      </c>
      <c r="K98">
        <v>2</v>
      </c>
      <c r="L98">
        <v>1</v>
      </c>
      <c r="M98">
        <v>0</v>
      </c>
      <c r="N98">
        <v>1</v>
      </c>
      <c r="O98">
        <v>2</v>
      </c>
      <c r="P98">
        <v>1</v>
      </c>
      <c r="Q98">
        <v>4</v>
      </c>
      <c r="R98">
        <v>8</v>
      </c>
      <c r="S98">
        <v>1</v>
      </c>
      <c r="T98">
        <v>0</v>
      </c>
      <c r="V98" t="b">
        <f t="shared" si="13"/>
        <v>1</v>
      </c>
      <c r="W98" t="b">
        <f t="shared" si="14"/>
        <v>1</v>
      </c>
      <c r="X98" t="b">
        <f t="shared" si="15"/>
        <v>1</v>
      </c>
      <c r="Y98" t="b">
        <f t="shared" si="16"/>
        <v>1</v>
      </c>
      <c r="Z98" t="b">
        <f t="shared" si="17"/>
        <v>0</v>
      </c>
      <c r="AA98" t="b">
        <f t="shared" si="18"/>
        <v>0</v>
      </c>
      <c r="AB98" t="b">
        <f t="shared" si="19"/>
        <v>0</v>
      </c>
      <c r="AC98" t="b">
        <f t="shared" si="20"/>
        <v>0</v>
      </c>
      <c r="AD98" t="b">
        <f t="shared" si="21"/>
        <v>0</v>
      </c>
      <c r="AE98" t="b">
        <f t="shared" si="22"/>
        <v>0</v>
      </c>
      <c r="AF98" t="b">
        <f t="shared" si="23"/>
        <v>0</v>
      </c>
      <c r="AG98" t="b">
        <f t="shared" si="24"/>
        <v>0</v>
      </c>
      <c r="AH98" t="b">
        <f t="shared" si="25"/>
        <v>0</v>
      </c>
    </row>
    <row r="99" spans="1:34" x14ac:dyDescent="0.2">
      <c r="A99" t="s">
        <v>318</v>
      </c>
      <c r="B99" t="s">
        <v>206</v>
      </c>
      <c r="C99" t="s">
        <v>206</v>
      </c>
      <c r="D99">
        <v>2</v>
      </c>
      <c r="E99">
        <v>2</v>
      </c>
      <c r="F99">
        <v>2</v>
      </c>
      <c r="G99">
        <v>2</v>
      </c>
      <c r="H99">
        <v>2</v>
      </c>
      <c r="I99">
        <v>2</v>
      </c>
      <c r="J99">
        <v>2</v>
      </c>
      <c r="K99">
        <v>1</v>
      </c>
      <c r="L99">
        <v>1</v>
      </c>
      <c r="M99">
        <v>2</v>
      </c>
      <c r="N99">
        <v>1</v>
      </c>
      <c r="O99">
        <v>2</v>
      </c>
      <c r="P99">
        <v>2</v>
      </c>
      <c r="Q99">
        <v>10</v>
      </c>
      <c r="R99">
        <v>3</v>
      </c>
      <c r="S99">
        <v>0</v>
      </c>
      <c r="T99">
        <v>0</v>
      </c>
      <c r="V99" t="b">
        <f t="shared" si="13"/>
        <v>1</v>
      </c>
      <c r="W99" t="b">
        <f t="shared" si="14"/>
        <v>1</v>
      </c>
      <c r="X99" t="b">
        <f t="shared" si="15"/>
        <v>1</v>
      </c>
      <c r="Y99" t="b">
        <f t="shared" si="16"/>
        <v>1</v>
      </c>
      <c r="Z99" t="b">
        <f t="shared" si="17"/>
        <v>1</v>
      </c>
      <c r="AA99" t="b">
        <f t="shared" si="18"/>
        <v>1</v>
      </c>
      <c r="AB99" t="b">
        <f t="shared" si="19"/>
        <v>1</v>
      </c>
      <c r="AC99" t="b">
        <f t="shared" si="20"/>
        <v>1</v>
      </c>
      <c r="AD99" t="b">
        <f t="shared" si="21"/>
        <v>1</v>
      </c>
      <c r="AE99" t="b">
        <f t="shared" si="22"/>
        <v>1</v>
      </c>
      <c r="AF99" t="b">
        <f t="shared" si="23"/>
        <v>0</v>
      </c>
      <c r="AG99" t="b">
        <f t="shared" si="24"/>
        <v>0</v>
      </c>
      <c r="AH99" t="b">
        <f t="shared" si="25"/>
        <v>0</v>
      </c>
    </row>
    <row r="100" spans="1:34" x14ac:dyDescent="0.2">
      <c r="A100" t="s">
        <v>319</v>
      </c>
      <c r="B100" t="s">
        <v>206</v>
      </c>
      <c r="C100" t="s">
        <v>206</v>
      </c>
      <c r="D100">
        <v>2</v>
      </c>
      <c r="E100">
        <v>0</v>
      </c>
      <c r="F100">
        <v>2</v>
      </c>
      <c r="G100">
        <v>2</v>
      </c>
      <c r="H100">
        <v>2</v>
      </c>
      <c r="I100">
        <v>0</v>
      </c>
      <c r="J100">
        <v>2</v>
      </c>
      <c r="L100">
        <v>1</v>
      </c>
      <c r="M100">
        <v>2</v>
      </c>
      <c r="N100">
        <v>2</v>
      </c>
      <c r="O100">
        <v>2</v>
      </c>
      <c r="P100">
        <v>1</v>
      </c>
      <c r="Q100">
        <v>8</v>
      </c>
      <c r="R100">
        <v>2</v>
      </c>
      <c r="S100">
        <v>2</v>
      </c>
      <c r="T100">
        <v>1</v>
      </c>
      <c r="V100" t="b">
        <f t="shared" si="13"/>
        <v>1</v>
      </c>
      <c r="W100" t="b">
        <f t="shared" si="14"/>
        <v>1</v>
      </c>
      <c r="X100" t="b">
        <f t="shared" si="15"/>
        <v>1</v>
      </c>
      <c r="Y100" t="b">
        <f t="shared" si="16"/>
        <v>1</v>
      </c>
      <c r="Z100" t="b">
        <f t="shared" si="17"/>
        <v>1</v>
      </c>
      <c r="AA100" t="b">
        <f t="shared" si="18"/>
        <v>1</v>
      </c>
      <c r="AB100" t="b">
        <f t="shared" si="19"/>
        <v>1</v>
      </c>
      <c r="AC100" t="b">
        <f t="shared" si="20"/>
        <v>1</v>
      </c>
      <c r="AD100" t="b">
        <f t="shared" si="21"/>
        <v>0</v>
      </c>
      <c r="AE100" t="b">
        <f t="shared" si="22"/>
        <v>0</v>
      </c>
      <c r="AF100" t="b">
        <f t="shared" si="23"/>
        <v>0</v>
      </c>
      <c r="AG100" t="b">
        <f t="shared" si="24"/>
        <v>0</v>
      </c>
      <c r="AH100" t="b">
        <f t="shared" si="25"/>
        <v>0</v>
      </c>
    </row>
    <row r="101" spans="1:34" x14ac:dyDescent="0.2">
      <c r="A101" t="s">
        <v>320</v>
      </c>
      <c r="B101" t="s">
        <v>206</v>
      </c>
      <c r="C101" t="s">
        <v>206</v>
      </c>
      <c r="D101">
        <v>1</v>
      </c>
      <c r="E101">
        <v>2</v>
      </c>
      <c r="F101">
        <v>2</v>
      </c>
      <c r="G101">
        <v>2</v>
      </c>
      <c r="H101">
        <v>1</v>
      </c>
      <c r="I101">
        <v>1</v>
      </c>
      <c r="J101">
        <v>2</v>
      </c>
      <c r="K101">
        <v>1</v>
      </c>
      <c r="L101">
        <v>1</v>
      </c>
      <c r="M101">
        <v>2</v>
      </c>
      <c r="N101">
        <v>1</v>
      </c>
      <c r="O101">
        <v>2</v>
      </c>
      <c r="P101">
        <v>1</v>
      </c>
      <c r="Q101">
        <v>6</v>
      </c>
      <c r="R101">
        <v>7</v>
      </c>
      <c r="S101">
        <v>0</v>
      </c>
      <c r="T101">
        <v>0</v>
      </c>
      <c r="V101" t="b">
        <f t="shared" si="13"/>
        <v>1</v>
      </c>
      <c r="W101" t="b">
        <f t="shared" si="14"/>
        <v>1</v>
      </c>
      <c r="X101" t="b">
        <f t="shared" si="15"/>
        <v>1</v>
      </c>
      <c r="Y101" t="b">
        <f t="shared" si="16"/>
        <v>1</v>
      </c>
      <c r="Z101" t="b">
        <f t="shared" si="17"/>
        <v>1</v>
      </c>
      <c r="AA101" t="b">
        <f t="shared" si="18"/>
        <v>1</v>
      </c>
      <c r="AB101" t="b">
        <f t="shared" si="19"/>
        <v>0</v>
      </c>
      <c r="AC101" t="b">
        <f t="shared" si="20"/>
        <v>0</v>
      </c>
      <c r="AD101" t="b">
        <f t="shared" si="21"/>
        <v>0</v>
      </c>
      <c r="AE101" t="b">
        <f t="shared" si="22"/>
        <v>0</v>
      </c>
      <c r="AF101" t="b">
        <f t="shared" si="23"/>
        <v>0</v>
      </c>
      <c r="AG101" t="b">
        <f t="shared" si="24"/>
        <v>0</v>
      </c>
      <c r="AH101" t="b">
        <f t="shared" si="25"/>
        <v>0</v>
      </c>
    </row>
    <row r="102" spans="1:34" x14ac:dyDescent="0.2">
      <c r="A102" t="s">
        <v>321</v>
      </c>
      <c r="B102" t="s">
        <v>206</v>
      </c>
      <c r="C102" t="s">
        <v>206</v>
      </c>
      <c r="D102">
        <v>2</v>
      </c>
      <c r="E102">
        <v>2</v>
      </c>
      <c r="F102">
        <v>2</v>
      </c>
      <c r="G102">
        <v>2</v>
      </c>
      <c r="H102">
        <v>2</v>
      </c>
      <c r="I102">
        <v>0</v>
      </c>
      <c r="J102">
        <v>2</v>
      </c>
      <c r="K102">
        <v>1</v>
      </c>
      <c r="L102">
        <v>1</v>
      </c>
      <c r="M102">
        <v>2</v>
      </c>
      <c r="N102">
        <v>2</v>
      </c>
      <c r="O102">
        <v>2</v>
      </c>
      <c r="P102">
        <v>2</v>
      </c>
      <c r="Q102">
        <v>10</v>
      </c>
      <c r="R102">
        <v>2</v>
      </c>
      <c r="S102">
        <v>1</v>
      </c>
      <c r="T102">
        <v>0</v>
      </c>
      <c r="V102" t="b">
        <f t="shared" si="13"/>
        <v>1</v>
      </c>
      <c r="W102" t="b">
        <f t="shared" si="14"/>
        <v>1</v>
      </c>
      <c r="X102" t="b">
        <f t="shared" si="15"/>
        <v>1</v>
      </c>
      <c r="Y102" t="b">
        <f t="shared" si="16"/>
        <v>1</v>
      </c>
      <c r="Z102" t="b">
        <f t="shared" si="17"/>
        <v>1</v>
      </c>
      <c r="AA102" t="b">
        <f t="shared" si="18"/>
        <v>1</v>
      </c>
      <c r="AB102" t="b">
        <f t="shared" si="19"/>
        <v>1</v>
      </c>
      <c r="AC102" t="b">
        <f t="shared" si="20"/>
        <v>1</v>
      </c>
      <c r="AD102" t="b">
        <f t="shared" si="21"/>
        <v>1</v>
      </c>
      <c r="AE102" t="b">
        <f t="shared" si="22"/>
        <v>1</v>
      </c>
      <c r="AF102" t="b">
        <f t="shared" si="23"/>
        <v>0</v>
      </c>
      <c r="AG102" t="b">
        <f t="shared" si="24"/>
        <v>0</v>
      </c>
      <c r="AH102" t="b">
        <f t="shared" si="25"/>
        <v>0</v>
      </c>
    </row>
    <row r="103" spans="1:34" x14ac:dyDescent="0.2">
      <c r="A103" t="s">
        <v>322</v>
      </c>
      <c r="B103" t="s">
        <v>206</v>
      </c>
      <c r="C103" t="s">
        <v>206</v>
      </c>
      <c r="D103">
        <v>2</v>
      </c>
      <c r="E103">
        <v>0</v>
      </c>
      <c r="F103">
        <v>1</v>
      </c>
      <c r="G103">
        <v>2</v>
      </c>
      <c r="H103">
        <v>2</v>
      </c>
      <c r="I103">
        <v>0</v>
      </c>
      <c r="J103">
        <v>2</v>
      </c>
      <c r="K103">
        <v>1</v>
      </c>
      <c r="L103">
        <v>1</v>
      </c>
      <c r="M103">
        <v>2</v>
      </c>
      <c r="N103">
        <v>1</v>
      </c>
      <c r="O103">
        <v>2</v>
      </c>
      <c r="P103">
        <v>2</v>
      </c>
      <c r="Q103">
        <v>7</v>
      </c>
      <c r="R103">
        <v>4</v>
      </c>
      <c r="S103">
        <v>2</v>
      </c>
      <c r="T103">
        <v>0</v>
      </c>
      <c r="V103" t="b">
        <f t="shared" si="13"/>
        <v>1</v>
      </c>
      <c r="W103" t="b">
        <f t="shared" si="14"/>
        <v>1</v>
      </c>
      <c r="X103" t="b">
        <f t="shared" si="15"/>
        <v>1</v>
      </c>
      <c r="Y103" t="b">
        <f t="shared" si="16"/>
        <v>1</v>
      </c>
      <c r="Z103" t="b">
        <f t="shared" si="17"/>
        <v>1</v>
      </c>
      <c r="AA103" t="b">
        <f t="shared" si="18"/>
        <v>1</v>
      </c>
      <c r="AB103" t="b">
        <f t="shared" si="19"/>
        <v>1</v>
      </c>
      <c r="AC103" t="b">
        <f t="shared" si="20"/>
        <v>0</v>
      </c>
      <c r="AD103" t="b">
        <f t="shared" si="21"/>
        <v>0</v>
      </c>
      <c r="AE103" t="b">
        <f t="shared" si="22"/>
        <v>0</v>
      </c>
      <c r="AF103" t="b">
        <f t="shared" si="23"/>
        <v>0</v>
      </c>
      <c r="AG103" t="b">
        <f t="shared" si="24"/>
        <v>0</v>
      </c>
      <c r="AH103" t="b">
        <f t="shared" si="25"/>
        <v>0</v>
      </c>
    </row>
    <row r="104" spans="1:34" x14ac:dyDescent="0.2">
      <c r="A104" t="s">
        <v>323</v>
      </c>
      <c r="B104" t="s">
        <v>206</v>
      </c>
      <c r="C104" t="s">
        <v>206</v>
      </c>
      <c r="D104">
        <v>2</v>
      </c>
      <c r="E104">
        <v>1</v>
      </c>
      <c r="F104">
        <v>1</v>
      </c>
      <c r="G104">
        <v>2</v>
      </c>
      <c r="H104">
        <v>0</v>
      </c>
      <c r="I104">
        <v>0</v>
      </c>
      <c r="J104">
        <v>1</v>
      </c>
      <c r="K104">
        <v>0</v>
      </c>
      <c r="L104">
        <v>2</v>
      </c>
      <c r="M104">
        <v>0</v>
      </c>
      <c r="N104">
        <v>0</v>
      </c>
      <c r="O104">
        <v>0</v>
      </c>
      <c r="P104">
        <v>0</v>
      </c>
      <c r="Q104">
        <v>3</v>
      </c>
      <c r="R104">
        <v>3</v>
      </c>
      <c r="S104">
        <v>7</v>
      </c>
      <c r="T104">
        <v>0</v>
      </c>
      <c r="V104" t="b">
        <f t="shared" si="13"/>
        <v>1</v>
      </c>
      <c r="W104" t="b">
        <f t="shared" si="14"/>
        <v>1</v>
      </c>
      <c r="X104" t="b">
        <f t="shared" si="15"/>
        <v>1</v>
      </c>
      <c r="Y104" t="b">
        <f t="shared" si="16"/>
        <v>0</v>
      </c>
      <c r="Z104" t="b">
        <f t="shared" si="17"/>
        <v>0</v>
      </c>
      <c r="AA104" t="b">
        <f t="shared" si="18"/>
        <v>0</v>
      </c>
      <c r="AB104" t="b">
        <f t="shared" si="19"/>
        <v>0</v>
      </c>
      <c r="AC104" t="b">
        <f t="shared" si="20"/>
        <v>0</v>
      </c>
      <c r="AD104" t="b">
        <f t="shared" si="21"/>
        <v>0</v>
      </c>
      <c r="AE104" t="b">
        <f t="shared" si="22"/>
        <v>0</v>
      </c>
      <c r="AF104" t="b">
        <f t="shared" si="23"/>
        <v>0</v>
      </c>
      <c r="AG104" t="b">
        <f t="shared" si="24"/>
        <v>0</v>
      </c>
      <c r="AH104" t="b">
        <f t="shared" si="25"/>
        <v>0</v>
      </c>
    </row>
    <row r="105" spans="1:34" x14ac:dyDescent="0.2">
      <c r="A105" t="s">
        <v>324</v>
      </c>
      <c r="B105" t="s">
        <v>206</v>
      </c>
      <c r="C105" t="s">
        <v>206</v>
      </c>
      <c r="D105">
        <v>1</v>
      </c>
      <c r="E105">
        <v>1</v>
      </c>
      <c r="F105">
        <v>1</v>
      </c>
      <c r="G105">
        <v>2</v>
      </c>
      <c r="H105">
        <v>0</v>
      </c>
      <c r="I105">
        <v>0</v>
      </c>
      <c r="J105">
        <v>1</v>
      </c>
      <c r="K105">
        <v>0</v>
      </c>
      <c r="L105">
        <v>2</v>
      </c>
      <c r="M105">
        <v>0</v>
      </c>
      <c r="N105">
        <v>0</v>
      </c>
      <c r="O105">
        <v>0</v>
      </c>
      <c r="P105">
        <v>0</v>
      </c>
      <c r="Q105">
        <v>2</v>
      </c>
      <c r="R105">
        <v>4</v>
      </c>
      <c r="S105">
        <v>7</v>
      </c>
      <c r="T105">
        <v>0</v>
      </c>
      <c r="V105" t="b">
        <f t="shared" si="13"/>
        <v>1</v>
      </c>
      <c r="W105" t="b">
        <f t="shared" si="14"/>
        <v>1</v>
      </c>
      <c r="X105" t="b">
        <f t="shared" si="15"/>
        <v>0</v>
      </c>
      <c r="Y105" t="b">
        <f t="shared" si="16"/>
        <v>0</v>
      </c>
      <c r="Z105" t="b">
        <f t="shared" si="17"/>
        <v>0</v>
      </c>
      <c r="AA105" t="b">
        <f t="shared" si="18"/>
        <v>0</v>
      </c>
      <c r="AB105" t="b">
        <f t="shared" si="19"/>
        <v>0</v>
      </c>
      <c r="AC105" t="b">
        <f t="shared" si="20"/>
        <v>0</v>
      </c>
      <c r="AD105" t="b">
        <f t="shared" si="21"/>
        <v>0</v>
      </c>
      <c r="AE105" t="b">
        <f t="shared" si="22"/>
        <v>0</v>
      </c>
      <c r="AF105" t="b">
        <f t="shared" si="23"/>
        <v>0</v>
      </c>
      <c r="AG105" t="b">
        <f t="shared" si="24"/>
        <v>0</v>
      </c>
      <c r="AH105" t="b">
        <f t="shared" si="25"/>
        <v>0</v>
      </c>
    </row>
    <row r="106" spans="1:34" x14ac:dyDescent="0.2">
      <c r="V106">
        <f t="shared" ref="V106:AC106" si="26">COUNTIF(V16:V105,TRUE)</f>
        <v>84</v>
      </c>
      <c r="W106">
        <f t="shared" si="26"/>
        <v>70</v>
      </c>
      <c r="X106">
        <f t="shared" si="26"/>
        <v>58</v>
      </c>
      <c r="Y106">
        <f t="shared" si="26"/>
        <v>50</v>
      </c>
      <c r="Z106">
        <f t="shared" si="26"/>
        <v>39</v>
      </c>
      <c r="AA106">
        <f t="shared" si="26"/>
        <v>27</v>
      </c>
      <c r="AB106">
        <f t="shared" si="26"/>
        <v>20</v>
      </c>
      <c r="AC106">
        <f t="shared" si="26"/>
        <v>14</v>
      </c>
      <c r="AD106">
        <f t="shared" ref="AD106:AH106" si="27">COUNTIF(AD16:AD105,TRUE)</f>
        <v>12</v>
      </c>
      <c r="AE106">
        <f t="shared" si="27"/>
        <v>9</v>
      </c>
      <c r="AF106">
        <f t="shared" si="27"/>
        <v>3</v>
      </c>
      <c r="AG106">
        <f t="shared" si="27"/>
        <v>0</v>
      </c>
      <c r="AH106">
        <f t="shared" si="27"/>
        <v>0</v>
      </c>
    </row>
    <row r="107" spans="1:34" x14ac:dyDescent="0.2">
      <c r="V107" s="7">
        <f>V106/104</f>
        <v>0.80769230769230771</v>
      </c>
      <c r="W107" s="7">
        <f t="shared" ref="W107:AC107" si="28">W106/104</f>
        <v>0.67307692307692313</v>
      </c>
      <c r="X107" s="7">
        <f t="shared" si="28"/>
        <v>0.55769230769230771</v>
      </c>
      <c r="Y107" s="7">
        <f t="shared" si="28"/>
        <v>0.48076923076923078</v>
      </c>
      <c r="Z107" s="7">
        <f t="shared" si="28"/>
        <v>0.375</v>
      </c>
      <c r="AA107" s="7">
        <f t="shared" si="28"/>
        <v>0.25961538461538464</v>
      </c>
      <c r="AB107" s="7">
        <f t="shared" si="28"/>
        <v>0.19230769230769232</v>
      </c>
      <c r="AC107" s="7">
        <f t="shared" si="28"/>
        <v>0.13461538461538461</v>
      </c>
      <c r="AD107" s="7">
        <f t="shared" ref="AD107" si="29">AD106/104</f>
        <v>0.11538461538461539</v>
      </c>
      <c r="AE107" s="7">
        <f t="shared" ref="AE107" si="30">AE106/104</f>
        <v>8.6538461538461536E-2</v>
      </c>
      <c r="AF107" s="7">
        <f t="shared" ref="AF107" si="31">AF106/104</f>
        <v>2.8846153846153848E-2</v>
      </c>
      <c r="AG107" s="7">
        <f t="shared" ref="AG107" si="32">AG106/104</f>
        <v>0</v>
      </c>
      <c r="AH107" s="7">
        <f t="shared" ref="AH107" si="33">AH106/104</f>
        <v>0</v>
      </c>
    </row>
  </sheetData>
  <phoneticPr fontId="4" type="noConversion"/>
  <pageMargins left="0.69930555555555596" right="0.69930555555555596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H83"/>
  <sheetViews>
    <sheetView zoomScale="85" zoomScaleNormal="85" workbookViewId="0">
      <selection activeCell="AA93" sqref="AA93"/>
    </sheetView>
  </sheetViews>
  <sheetFormatPr defaultColWidth="9" defaultRowHeight="14.25" x14ac:dyDescent="0.2"/>
  <cols>
    <col min="1" max="1" width="23.75" customWidth="1"/>
    <col min="2" max="2" width="19" customWidth="1"/>
  </cols>
  <sheetData>
    <row r="1" spans="1:34" x14ac:dyDescent="0.2">
      <c r="A1" s="1" t="s">
        <v>1</v>
      </c>
      <c r="B1" s="1" t="s">
        <v>2</v>
      </c>
      <c r="C1" s="1" t="s">
        <v>3</v>
      </c>
      <c r="D1" s="1" t="s">
        <v>400</v>
      </c>
      <c r="E1" s="2" t="s">
        <v>401</v>
      </c>
      <c r="F1" s="2" t="s">
        <v>402</v>
      </c>
      <c r="G1" s="2" t="s">
        <v>403</v>
      </c>
      <c r="H1" s="2" t="s">
        <v>404</v>
      </c>
      <c r="I1" s="2" t="s">
        <v>405</v>
      </c>
      <c r="J1" s="2" t="s">
        <v>406</v>
      </c>
      <c r="K1" s="3" t="s">
        <v>407</v>
      </c>
      <c r="L1" s="2" t="s">
        <v>408</v>
      </c>
      <c r="M1" s="2" t="s">
        <v>409</v>
      </c>
      <c r="N1" s="2" t="s">
        <v>410</v>
      </c>
      <c r="O1" s="2" t="s">
        <v>411</v>
      </c>
      <c r="P1" s="2" t="s">
        <v>412</v>
      </c>
      <c r="Q1" t="s">
        <v>17</v>
      </c>
      <c r="R1" t="s">
        <v>18</v>
      </c>
      <c r="S1" s="4" t="s">
        <v>19</v>
      </c>
      <c r="T1" s="5" t="s">
        <v>20</v>
      </c>
      <c r="U1" s="2"/>
      <c r="V1" s="6" t="s">
        <v>22</v>
      </c>
      <c r="W1" s="6" t="s">
        <v>23</v>
      </c>
      <c r="X1" s="6" t="s">
        <v>24</v>
      </c>
      <c r="Y1" s="6" t="s">
        <v>25</v>
      </c>
      <c r="Z1" s="6" t="s">
        <v>26</v>
      </c>
      <c r="AA1" s="6" t="s">
        <v>27</v>
      </c>
      <c r="AB1" s="6" t="s">
        <v>28</v>
      </c>
      <c r="AC1" s="6" t="s">
        <v>29</v>
      </c>
      <c r="AD1" s="6" t="s">
        <v>30</v>
      </c>
      <c r="AE1" s="6" t="s">
        <v>31</v>
      </c>
      <c r="AF1" s="6" t="s">
        <v>32</v>
      </c>
      <c r="AG1" s="6" t="s">
        <v>33</v>
      </c>
      <c r="AH1" s="6" t="s">
        <v>34</v>
      </c>
    </row>
    <row r="2" spans="1:34" x14ac:dyDescent="0.2">
      <c r="A2" t="s">
        <v>325</v>
      </c>
      <c r="B2" t="s">
        <v>326</v>
      </c>
      <c r="C2" t="s">
        <v>326</v>
      </c>
      <c r="D2">
        <v>0</v>
      </c>
      <c r="E2">
        <v>2</v>
      </c>
      <c r="F2">
        <v>2</v>
      </c>
      <c r="G2">
        <v>2</v>
      </c>
      <c r="H2">
        <v>0</v>
      </c>
      <c r="I2">
        <v>1</v>
      </c>
      <c r="J2">
        <v>0</v>
      </c>
      <c r="K2">
        <v>1</v>
      </c>
      <c r="L2">
        <v>1</v>
      </c>
      <c r="M2">
        <v>2</v>
      </c>
      <c r="N2">
        <v>0</v>
      </c>
      <c r="O2">
        <v>2</v>
      </c>
      <c r="P2">
        <v>0</v>
      </c>
      <c r="Q2">
        <v>5</v>
      </c>
      <c r="R2">
        <v>3</v>
      </c>
      <c r="S2">
        <v>5</v>
      </c>
      <c r="T2">
        <v>0</v>
      </c>
      <c r="V2" t="b">
        <f>Q2&gt;=1</f>
        <v>1</v>
      </c>
      <c r="W2" t="b">
        <f>Q2&gt;=2</f>
        <v>1</v>
      </c>
      <c r="X2" t="b">
        <f>Q2&gt;=3</f>
        <v>1</v>
      </c>
      <c r="Y2" t="b">
        <f>Q2&gt;=4</f>
        <v>1</v>
      </c>
      <c r="Z2" t="b">
        <f>Q2&gt;=5</f>
        <v>1</v>
      </c>
      <c r="AA2" t="b">
        <f>Q2&gt;=6</f>
        <v>0</v>
      </c>
      <c r="AB2" t="b">
        <f>Q2&gt;=7</f>
        <v>0</v>
      </c>
      <c r="AC2" t="b">
        <f>Q2&gt;=8</f>
        <v>0</v>
      </c>
      <c r="AD2" t="b">
        <f>Q2&gt;=9</f>
        <v>0</v>
      </c>
      <c r="AE2" t="b">
        <f>Q2&gt;=10</f>
        <v>0</v>
      </c>
      <c r="AF2" t="b">
        <f>Q2&gt;=11</f>
        <v>0</v>
      </c>
      <c r="AG2" t="b">
        <f>Q2&gt;=12</f>
        <v>0</v>
      </c>
      <c r="AH2" t="b">
        <f>Q2&gt;=13</f>
        <v>0</v>
      </c>
    </row>
    <row r="3" spans="1:34" x14ac:dyDescent="0.2">
      <c r="A3" t="s">
        <v>327</v>
      </c>
      <c r="B3" t="s">
        <v>326</v>
      </c>
      <c r="C3" t="s">
        <v>326</v>
      </c>
      <c r="D3">
        <v>0</v>
      </c>
      <c r="E3">
        <v>2</v>
      </c>
      <c r="F3">
        <v>2</v>
      </c>
      <c r="G3">
        <v>2</v>
      </c>
      <c r="H3">
        <v>0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2</v>
      </c>
      <c r="P3">
        <v>0</v>
      </c>
      <c r="Q3">
        <v>4</v>
      </c>
      <c r="R3">
        <v>1</v>
      </c>
      <c r="S3">
        <v>8</v>
      </c>
      <c r="T3">
        <v>0</v>
      </c>
      <c r="V3" t="b">
        <f t="shared" ref="V3:V66" si="0">Q3&gt;=1</f>
        <v>1</v>
      </c>
      <c r="W3" t="b">
        <f t="shared" ref="W3:W66" si="1">Q3&gt;=2</f>
        <v>1</v>
      </c>
      <c r="X3" t="b">
        <f t="shared" ref="X3:X66" si="2">Q3&gt;=3</f>
        <v>1</v>
      </c>
      <c r="Y3" t="b">
        <f t="shared" ref="Y3:Y66" si="3">Q3&gt;=4</f>
        <v>1</v>
      </c>
      <c r="Z3" t="b">
        <f t="shared" ref="Z3:Z66" si="4">Q3&gt;=5</f>
        <v>0</v>
      </c>
      <c r="AA3" t="b">
        <f t="shared" ref="AA3:AA66" si="5">Q3&gt;=6</f>
        <v>0</v>
      </c>
      <c r="AB3" t="b">
        <f t="shared" ref="AB3:AB66" si="6">Q3&gt;=7</f>
        <v>0</v>
      </c>
      <c r="AC3" t="b">
        <f t="shared" ref="AC3:AC66" si="7">Q3&gt;=8</f>
        <v>0</v>
      </c>
      <c r="AD3" t="b">
        <f t="shared" ref="AD3:AD66" si="8">Q3&gt;=9</f>
        <v>0</v>
      </c>
      <c r="AE3" t="b">
        <f t="shared" ref="AE3:AE66" si="9">Q3&gt;=10</f>
        <v>0</v>
      </c>
      <c r="AF3" t="b">
        <f t="shared" ref="AF3:AF66" si="10">Q3&gt;=11</f>
        <v>0</v>
      </c>
      <c r="AG3" t="b">
        <f t="shared" ref="AG3:AG66" si="11">Q3&gt;=12</f>
        <v>0</v>
      </c>
      <c r="AH3" t="b">
        <f t="shared" ref="AH3:AH66" si="12">Q3&gt;=13</f>
        <v>0</v>
      </c>
    </row>
    <row r="4" spans="1:34" x14ac:dyDescent="0.2">
      <c r="A4" t="s">
        <v>144</v>
      </c>
      <c r="B4" t="s">
        <v>326</v>
      </c>
      <c r="C4" t="s">
        <v>326</v>
      </c>
      <c r="D4">
        <v>0</v>
      </c>
      <c r="E4">
        <v>2</v>
      </c>
      <c r="F4">
        <v>2</v>
      </c>
      <c r="G4">
        <v>2</v>
      </c>
      <c r="H4">
        <v>0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2</v>
      </c>
      <c r="P4">
        <v>0</v>
      </c>
      <c r="Q4">
        <v>4</v>
      </c>
      <c r="R4">
        <v>5</v>
      </c>
      <c r="S4">
        <v>4</v>
      </c>
      <c r="T4">
        <v>0</v>
      </c>
      <c r="V4" t="b">
        <f t="shared" si="0"/>
        <v>1</v>
      </c>
      <c r="W4" t="b">
        <f t="shared" si="1"/>
        <v>1</v>
      </c>
      <c r="X4" t="b">
        <f t="shared" si="2"/>
        <v>1</v>
      </c>
      <c r="Y4" t="b">
        <f t="shared" si="3"/>
        <v>1</v>
      </c>
      <c r="Z4" t="b">
        <f t="shared" si="4"/>
        <v>0</v>
      </c>
      <c r="AA4" t="b">
        <f t="shared" si="5"/>
        <v>0</v>
      </c>
      <c r="AB4" t="b">
        <f t="shared" si="6"/>
        <v>0</v>
      </c>
      <c r="AC4" t="b">
        <f t="shared" si="7"/>
        <v>0</v>
      </c>
      <c r="AD4" t="b">
        <f t="shared" si="8"/>
        <v>0</v>
      </c>
      <c r="AE4" t="b">
        <f t="shared" si="9"/>
        <v>0</v>
      </c>
      <c r="AF4" t="b">
        <f t="shared" si="10"/>
        <v>0</v>
      </c>
      <c r="AG4" t="b">
        <f t="shared" si="11"/>
        <v>0</v>
      </c>
      <c r="AH4" t="b">
        <f t="shared" si="12"/>
        <v>0</v>
      </c>
    </row>
    <row r="5" spans="1:34" x14ac:dyDescent="0.2">
      <c r="A5" t="s">
        <v>253</v>
      </c>
      <c r="B5" t="s">
        <v>36</v>
      </c>
      <c r="C5" t="s">
        <v>36</v>
      </c>
      <c r="D5">
        <v>2</v>
      </c>
      <c r="E5">
        <v>2</v>
      </c>
      <c r="F5">
        <v>2</v>
      </c>
      <c r="G5">
        <v>0</v>
      </c>
      <c r="H5">
        <v>2</v>
      </c>
      <c r="I5">
        <v>1</v>
      </c>
      <c r="J5">
        <v>2</v>
      </c>
      <c r="K5">
        <v>2</v>
      </c>
      <c r="L5">
        <v>1</v>
      </c>
      <c r="M5">
        <v>2</v>
      </c>
      <c r="N5">
        <v>2</v>
      </c>
      <c r="O5">
        <v>2</v>
      </c>
      <c r="P5">
        <v>2</v>
      </c>
      <c r="Q5">
        <v>10</v>
      </c>
      <c r="R5">
        <v>2</v>
      </c>
      <c r="S5">
        <v>1</v>
      </c>
      <c r="T5">
        <v>0</v>
      </c>
      <c r="V5" t="b">
        <f t="shared" si="0"/>
        <v>1</v>
      </c>
      <c r="W5" t="b">
        <f t="shared" si="1"/>
        <v>1</v>
      </c>
      <c r="X5" t="b">
        <f t="shared" si="2"/>
        <v>1</v>
      </c>
      <c r="Y5" t="b">
        <f t="shared" si="3"/>
        <v>1</v>
      </c>
      <c r="Z5" t="b">
        <f t="shared" si="4"/>
        <v>1</v>
      </c>
      <c r="AA5" t="b">
        <f t="shared" si="5"/>
        <v>1</v>
      </c>
      <c r="AB5" t="b">
        <f t="shared" si="6"/>
        <v>1</v>
      </c>
      <c r="AC5" t="b">
        <f t="shared" si="7"/>
        <v>1</v>
      </c>
      <c r="AD5" t="b">
        <f t="shared" si="8"/>
        <v>1</v>
      </c>
      <c r="AE5" t="b">
        <f t="shared" si="9"/>
        <v>1</v>
      </c>
      <c r="AF5" t="b">
        <f t="shared" si="10"/>
        <v>0</v>
      </c>
      <c r="AG5" t="b">
        <f t="shared" si="11"/>
        <v>0</v>
      </c>
      <c r="AH5" t="b">
        <f t="shared" si="12"/>
        <v>0</v>
      </c>
    </row>
    <row r="6" spans="1:34" x14ac:dyDescent="0.2">
      <c r="A6" t="s">
        <v>328</v>
      </c>
      <c r="B6" t="s">
        <v>36</v>
      </c>
      <c r="C6" t="s">
        <v>36</v>
      </c>
      <c r="D6">
        <v>2</v>
      </c>
      <c r="E6">
        <v>2</v>
      </c>
      <c r="F6">
        <v>1</v>
      </c>
      <c r="G6">
        <v>2</v>
      </c>
      <c r="H6">
        <v>0</v>
      </c>
      <c r="I6">
        <v>1</v>
      </c>
      <c r="J6">
        <v>1</v>
      </c>
      <c r="K6">
        <v>1</v>
      </c>
      <c r="M6">
        <v>2</v>
      </c>
      <c r="O6">
        <v>2</v>
      </c>
      <c r="P6">
        <v>0</v>
      </c>
      <c r="Q6">
        <v>5</v>
      </c>
      <c r="R6">
        <v>4</v>
      </c>
      <c r="S6">
        <v>2</v>
      </c>
      <c r="T6">
        <v>2</v>
      </c>
      <c r="V6" t="b">
        <f t="shared" si="0"/>
        <v>1</v>
      </c>
      <c r="W6" t="b">
        <f t="shared" si="1"/>
        <v>1</v>
      </c>
      <c r="X6" t="b">
        <f t="shared" si="2"/>
        <v>1</v>
      </c>
      <c r="Y6" t="b">
        <f t="shared" si="3"/>
        <v>1</v>
      </c>
      <c r="Z6" t="b">
        <f t="shared" si="4"/>
        <v>1</v>
      </c>
      <c r="AA6" t="b">
        <f t="shared" si="5"/>
        <v>0</v>
      </c>
      <c r="AB6" t="b">
        <f t="shared" si="6"/>
        <v>0</v>
      </c>
      <c r="AC6" t="b">
        <f t="shared" si="7"/>
        <v>0</v>
      </c>
      <c r="AD6" t="b">
        <f t="shared" si="8"/>
        <v>0</v>
      </c>
      <c r="AE6" t="b">
        <f t="shared" si="9"/>
        <v>0</v>
      </c>
      <c r="AF6" t="b">
        <f t="shared" si="10"/>
        <v>0</v>
      </c>
      <c r="AG6" t="b">
        <f t="shared" si="11"/>
        <v>0</v>
      </c>
      <c r="AH6" t="b">
        <f t="shared" si="12"/>
        <v>0</v>
      </c>
    </row>
    <row r="7" spans="1:34" x14ac:dyDescent="0.2">
      <c r="A7" t="s">
        <v>329</v>
      </c>
      <c r="B7" t="s">
        <v>36</v>
      </c>
      <c r="C7" t="s">
        <v>36</v>
      </c>
      <c r="D7">
        <v>2</v>
      </c>
      <c r="E7">
        <v>1</v>
      </c>
      <c r="F7">
        <v>2</v>
      </c>
      <c r="G7">
        <v>0</v>
      </c>
      <c r="H7">
        <v>2</v>
      </c>
      <c r="I7">
        <v>1</v>
      </c>
      <c r="J7">
        <v>2</v>
      </c>
      <c r="K7">
        <v>2</v>
      </c>
      <c r="L7">
        <v>1</v>
      </c>
      <c r="M7">
        <v>2</v>
      </c>
      <c r="N7">
        <v>2</v>
      </c>
      <c r="O7">
        <v>2</v>
      </c>
      <c r="P7">
        <v>2</v>
      </c>
      <c r="Q7">
        <v>9</v>
      </c>
      <c r="R7">
        <v>3</v>
      </c>
      <c r="S7">
        <v>1</v>
      </c>
      <c r="T7">
        <v>0</v>
      </c>
      <c r="V7" t="b">
        <f t="shared" si="0"/>
        <v>1</v>
      </c>
      <c r="W7" t="b">
        <f t="shared" si="1"/>
        <v>1</v>
      </c>
      <c r="X7" t="b">
        <f t="shared" si="2"/>
        <v>1</v>
      </c>
      <c r="Y7" t="b">
        <f t="shared" si="3"/>
        <v>1</v>
      </c>
      <c r="Z7" t="b">
        <f t="shared" si="4"/>
        <v>1</v>
      </c>
      <c r="AA7" t="b">
        <f t="shared" si="5"/>
        <v>1</v>
      </c>
      <c r="AB7" t="b">
        <f t="shared" si="6"/>
        <v>1</v>
      </c>
      <c r="AC7" t="b">
        <f t="shared" si="7"/>
        <v>1</v>
      </c>
      <c r="AD7" t="b">
        <f t="shared" si="8"/>
        <v>1</v>
      </c>
      <c r="AE7" t="b">
        <f t="shared" si="9"/>
        <v>0</v>
      </c>
      <c r="AF7" t="b">
        <f t="shared" si="10"/>
        <v>0</v>
      </c>
      <c r="AG7" t="b">
        <f t="shared" si="11"/>
        <v>0</v>
      </c>
      <c r="AH7" t="b">
        <f t="shared" si="12"/>
        <v>0</v>
      </c>
    </row>
    <row r="8" spans="1:34" x14ac:dyDescent="0.2">
      <c r="A8" t="s">
        <v>330</v>
      </c>
      <c r="B8" t="s">
        <v>36</v>
      </c>
      <c r="C8" t="s">
        <v>36</v>
      </c>
      <c r="D8">
        <v>2</v>
      </c>
      <c r="E8">
        <v>2</v>
      </c>
      <c r="F8">
        <v>2</v>
      </c>
      <c r="G8">
        <v>0</v>
      </c>
      <c r="H8">
        <v>2</v>
      </c>
      <c r="I8">
        <v>1</v>
      </c>
      <c r="J8">
        <v>2</v>
      </c>
      <c r="K8">
        <v>2</v>
      </c>
      <c r="L8">
        <v>1</v>
      </c>
      <c r="M8">
        <v>2</v>
      </c>
      <c r="N8">
        <v>2</v>
      </c>
      <c r="O8">
        <v>2</v>
      </c>
      <c r="P8">
        <v>2</v>
      </c>
      <c r="Q8">
        <v>10</v>
      </c>
      <c r="R8">
        <v>2</v>
      </c>
      <c r="S8">
        <v>1</v>
      </c>
      <c r="T8">
        <v>0</v>
      </c>
      <c r="V8" t="b">
        <f t="shared" si="0"/>
        <v>1</v>
      </c>
      <c r="W8" t="b">
        <f t="shared" si="1"/>
        <v>1</v>
      </c>
      <c r="X8" t="b">
        <f t="shared" si="2"/>
        <v>1</v>
      </c>
      <c r="Y8" t="b">
        <f t="shared" si="3"/>
        <v>1</v>
      </c>
      <c r="Z8" t="b">
        <f t="shared" si="4"/>
        <v>1</v>
      </c>
      <c r="AA8" t="b">
        <f t="shared" si="5"/>
        <v>1</v>
      </c>
      <c r="AB8" t="b">
        <f t="shared" si="6"/>
        <v>1</v>
      </c>
      <c r="AC8" t="b">
        <f t="shared" si="7"/>
        <v>1</v>
      </c>
      <c r="AD8" t="b">
        <f t="shared" si="8"/>
        <v>1</v>
      </c>
      <c r="AE8" t="b">
        <f t="shared" si="9"/>
        <v>1</v>
      </c>
      <c r="AF8" t="b">
        <f t="shared" si="10"/>
        <v>0</v>
      </c>
      <c r="AG8" t="b">
        <f t="shared" si="11"/>
        <v>0</v>
      </c>
      <c r="AH8" t="b">
        <f t="shared" si="12"/>
        <v>0</v>
      </c>
    </row>
    <row r="9" spans="1:34" x14ac:dyDescent="0.2">
      <c r="A9" t="s">
        <v>37</v>
      </c>
      <c r="B9" t="s">
        <v>36</v>
      </c>
      <c r="C9" t="s">
        <v>36</v>
      </c>
      <c r="E9">
        <v>0</v>
      </c>
      <c r="F9">
        <v>1</v>
      </c>
      <c r="G9">
        <v>0</v>
      </c>
      <c r="H9">
        <v>2</v>
      </c>
      <c r="I9">
        <v>0</v>
      </c>
      <c r="J9">
        <v>2</v>
      </c>
      <c r="K9">
        <v>0</v>
      </c>
      <c r="L9">
        <v>2</v>
      </c>
      <c r="M9">
        <v>1</v>
      </c>
      <c r="N9">
        <v>0</v>
      </c>
      <c r="O9">
        <v>2</v>
      </c>
      <c r="P9">
        <v>0</v>
      </c>
      <c r="Q9">
        <v>4</v>
      </c>
      <c r="R9">
        <v>2</v>
      </c>
      <c r="S9">
        <v>6</v>
      </c>
      <c r="T9">
        <v>1</v>
      </c>
      <c r="V9" t="b">
        <f t="shared" si="0"/>
        <v>1</v>
      </c>
      <c r="W9" t="b">
        <f t="shared" si="1"/>
        <v>1</v>
      </c>
      <c r="X9" t="b">
        <f t="shared" si="2"/>
        <v>1</v>
      </c>
      <c r="Y9" t="b">
        <f t="shared" si="3"/>
        <v>1</v>
      </c>
      <c r="Z9" t="b">
        <f t="shared" si="4"/>
        <v>0</v>
      </c>
      <c r="AA9" t="b">
        <f t="shared" si="5"/>
        <v>0</v>
      </c>
      <c r="AB9" t="b">
        <f t="shared" si="6"/>
        <v>0</v>
      </c>
      <c r="AC9" t="b">
        <f t="shared" si="7"/>
        <v>0</v>
      </c>
      <c r="AD9" t="b">
        <f t="shared" si="8"/>
        <v>0</v>
      </c>
      <c r="AE9" t="b">
        <f t="shared" si="9"/>
        <v>0</v>
      </c>
      <c r="AF9" t="b">
        <f t="shared" si="10"/>
        <v>0</v>
      </c>
      <c r="AG9" t="b">
        <f t="shared" si="11"/>
        <v>0</v>
      </c>
      <c r="AH9" t="b">
        <f t="shared" si="12"/>
        <v>0</v>
      </c>
    </row>
    <row r="10" spans="1:34" x14ac:dyDescent="0.2">
      <c r="A10" t="s">
        <v>56</v>
      </c>
      <c r="B10" t="s">
        <v>41</v>
      </c>
      <c r="C10" t="s">
        <v>41</v>
      </c>
      <c r="D10">
        <v>0</v>
      </c>
      <c r="E10">
        <v>0</v>
      </c>
      <c r="F10">
        <v>2</v>
      </c>
      <c r="G10">
        <v>0</v>
      </c>
      <c r="H10">
        <v>0</v>
      </c>
      <c r="I10">
        <v>0</v>
      </c>
      <c r="J10">
        <v>0</v>
      </c>
      <c r="K10">
        <v>0</v>
      </c>
      <c r="L10">
        <v>2</v>
      </c>
      <c r="M10">
        <v>1</v>
      </c>
      <c r="N10">
        <v>0</v>
      </c>
      <c r="O10">
        <v>2</v>
      </c>
      <c r="P10">
        <v>0</v>
      </c>
      <c r="Q10">
        <v>3</v>
      </c>
      <c r="R10">
        <v>1</v>
      </c>
      <c r="S10">
        <v>9</v>
      </c>
      <c r="T10">
        <v>0</v>
      </c>
      <c r="V10" t="b">
        <f t="shared" si="0"/>
        <v>1</v>
      </c>
      <c r="W10" t="b">
        <f t="shared" si="1"/>
        <v>1</v>
      </c>
      <c r="X10" t="b">
        <f t="shared" si="2"/>
        <v>1</v>
      </c>
      <c r="Y10" t="b">
        <f t="shared" si="3"/>
        <v>0</v>
      </c>
      <c r="Z10" t="b">
        <f t="shared" si="4"/>
        <v>0</v>
      </c>
      <c r="AA10" t="b">
        <f t="shared" si="5"/>
        <v>0</v>
      </c>
      <c r="AB10" t="b">
        <f t="shared" si="6"/>
        <v>0</v>
      </c>
      <c r="AC10" t="b">
        <f t="shared" si="7"/>
        <v>0</v>
      </c>
      <c r="AD10" t="b">
        <f t="shared" si="8"/>
        <v>0</v>
      </c>
      <c r="AE10" t="b">
        <f t="shared" si="9"/>
        <v>0</v>
      </c>
      <c r="AF10" t="b">
        <f t="shared" si="10"/>
        <v>0</v>
      </c>
      <c r="AG10" t="b">
        <f t="shared" si="11"/>
        <v>0</v>
      </c>
      <c r="AH10" t="b">
        <f t="shared" si="12"/>
        <v>0</v>
      </c>
    </row>
    <row r="11" spans="1:34" x14ac:dyDescent="0.2">
      <c r="A11" t="s">
        <v>331</v>
      </c>
      <c r="B11" t="s">
        <v>47</v>
      </c>
      <c r="C11" t="s">
        <v>47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1</v>
      </c>
      <c r="M11">
        <v>2</v>
      </c>
      <c r="N11">
        <v>2</v>
      </c>
      <c r="O11">
        <v>2</v>
      </c>
      <c r="P11">
        <v>2</v>
      </c>
      <c r="Q11">
        <v>12</v>
      </c>
      <c r="R11">
        <v>1</v>
      </c>
      <c r="S11">
        <v>0</v>
      </c>
      <c r="T11">
        <v>0</v>
      </c>
      <c r="V11" t="b">
        <f t="shared" si="0"/>
        <v>1</v>
      </c>
      <c r="W11" t="b">
        <f t="shared" si="1"/>
        <v>1</v>
      </c>
      <c r="X11" t="b">
        <f t="shared" si="2"/>
        <v>1</v>
      </c>
      <c r="Y11" t="b">
        <f t="shared" si="3"/>
        <v>1</v>
      </c>
      <c r="Z11" t="b">
        <f t="shared" si="4"/>
        <v>1</v>
      </c>
      <c r="AA11" t="b">
        <f t="shared" si="5"/>
        <v>1</v>
      </c>
      <c r="AB11" t="b">
        <f t="shared" si="6"/>
        <v>1</v>
      </c>
      <c r="AC11" t="b">
        <f t="shared" si="7"/>
        <v>1</v>
      </c>
      <c r="AD11" t="b">
        <f t="shared" si="8"/>
        <v>1</v>
      </c>
      <c r="AE11" t="b">
        <f t="shared" si="9"/>
        <v>1</v>
      </c>
      <c r="AF11" t="b">
        <f t="shared" si="10"/>
        <v>1</v>
      </c>
      <c r="AG11" t="b">
        <f t="shared" si="11"/>
        <v>1</v>
      </c>
      <c r="AH11" t="b">
        <f t="shared" si="12"/>
        <v>0</v>
      </c>
    </row>
    <row r="12" spans="1:34" x14ac:dyDescent="0.2">
      <c r="A12" t="s">
        <v>332</v>
      </c>
      <c r="B12" t="s">
        <v>47</v>
      </c>
      <c r="C12" t="s">
        <v>47</v>
      </c>
      <c r="D12">
        <v>2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2</v>
      </c>
      <c r="L12">
        <v>1</v>
      </c>
      <c r="M12">
        <v>2</v>
      </c>
      <c r="N12">
        <v>2</v>
      </c>
      <c r="O12">
        <v>2</v>
      </c>
      <c r="P12">
        <v>1</v>
      </c>
      <c r="Q12">
        <v>11</v>
      </c>
      <c r="R12">
        <v>2</v>
      </c>
      <c r="S12">
        <v>0</v>
      </c>
      <c r="T12">
        <v>0</v>
      </c>
      <c r="V12" t="b">
        <f t="shared" si="0"/>
        <v>1</v>
      </c>
      <c r="W12" t="b">
        <f t="shared" si="1"/>
        <v>1</v>
      </c>
      <c r="X12" t="b">
        <f t="shared" si="2"/>
        <v>1</v>
      </c>
      <c r="Y12" t="b">
        <f t="shared" si="3"/>
        <v>1</v>
      </c>
      <c r="Z12" t="b">
        <f t="shared" si="4"/>
        <v>1</v>
      </c>
      <c r="AA12" t="b">
        <f t="shared" si="5"/>
        <v>1</v>
      </c>
      <c r="AB12" t="b">
        <f t="shared" si="6"/>
        <v>1</v>
      </c>
      <c r="AC12" t="b">
        <f t="shared" si="7"/>
        <v>1</v>
      </c>
      <c r="AD12" t="b">
        <f t="shared" si="8"/>
        <v>1</v>
      </c>
      <c r="AE12" t="b">
        <f t="shared" si="9"/>
        <v>1</v>
      </c>
      <c r="AF12" t="b">
        <f t="shared" si="10"/>
        <v>1</v>
      </c>
      <c r="AG12" t="b">
        <f t="shared" si="11"/>
        <v>0</v>
      </c>
      <c r="AH12" t="b">
        <f t="shared" si="12"/>
        <v>0</v>
      </c>
    </row>
    <row r="13" spans="1:34" x14ac:dyDescent="0.2">
      <c r="A13" t="s">
        <v>333</v>
      </c>
      <c r="B13" t="s">
        <v>47</v>
      </c>
      <c r="C13" t="s">
        <v>47</v>
      </c>
      <c r="E13">
        <v>0</v>
      </c>
      <c r="F13">
        <v>2</v>
      </c>
      <c r="G13">
        <v>0</v>
      </c>
      <c r="H13">
        <v>2</v>
      </c>
      <c r="J13">
        <v>2</v>
      </c>
      <c r="K13">
        <v>2</v>
      </c>
      <c r="L13">
        <v>1</v>
      </c>
      <c r="M13">
        <v>2</v>
      </c>
      <c r="O13">
        <v>2</v>
      </c>
      <c r="P13">
        <v>0</v>
      </c>
      <c r="Q13">
        <v>6</v>
      </c>
      <c r="R13">
        <v>1</v>
      </c>
      <c r="S13">
        <v>3</v>
      </c>
      <c r="T13">
        <v>3</v>
      </c>
      <c r="V13" t="b">
        <f t="shared" si="0"/>
        <v>1</v>
      </c>
      <c r="W13" t="b">
        <f t="shared" si="1"/>
        <v>1</v>
      </c>
      <c r="X13" t="b">
        <f t="shared" si="2"/>
        <v>1</v>
      </c>
      <c r="Y13" t="b">
        <f t="shared" si="3"/>
        <v>1</v>
      </c>
      <c r="Z13" t="b">
        <f t="shared" si="4"/>
        <v>1</v>
      </c>
      <c r="AA13" t="b">
        <f t="shared" si="5"/>
        <v>1</v>
      </c>
      <c r="AB13" t="b">
        <f t="shared" si="6"/>
        <v>0</v>
      </c>
      <c r="AC13" t="b">
        <f t="shared" si="7"/>
        <v>0</v>
      </c>
      <c r="AD13" t="b">
        <f t="shared" si="8"/>
        <v>0</v>
      </c>
      <c r="AE13" t="b">
        <f t="shared" si="9"/>
        <v>0</v>
      </c>
      <c r="AF13" t="b">
        <f t="shared" si="10"/>
        <v>0</v>
      </c>
      <c r="AG13" t="b">
        <f t="shared" si="11"/>
        <v>0</v>
      </c>
      <c r="AH13" t="b">
        <f t="shared" si="12"/>
        <v>0</v>
      </c>
    </row>
    <row r="14" spans="1:34" x14ac:dyDescent="0.2">
      <c r="A14" t="s">
        <v>334</v>
      </c>
      <c r="B14" t="s">
        <v>47</v>
      </c>
      <c r="C14" t="s">
        <v>47</v>
      </c>
      <c r="D14">
        <v>1</v>
      </c>
      <c r="E14">
        <v>1</v>
      </c>
      <c r="F14">
        <v>2</v>
      </c>
      <c r="G14">
        <v>2</v>
      </c>
      <c r="H14">
        <v>2</v>
      </c>
      <c r="I14">
        <v>0</v>
      </c>
      <c r="J14">
        <v>2</v>
      </c>
      <c r="K14">
        <v>2</v>
      </c>
      <c r="L14">
        <v>1</v>
      </c>
      <c r="M14">
        <v>2</v>
      </c>
      <c r="O14">
        <v>2</v>
      </c>
      <c r="P14">
        <v>2</v>
      </c>
      <c r="Q14">
        <v>8</v>
      </c>
      <c r="R14">
        <v>3</v>
      </c>
      <c r="S14">
        <v>1</v>
      </c>
      <c r="T14">
        <v>1</v>
      </c>
      <c r="V14" t="b">
        <f t="shared" si="0"/>
        <v>1</v>
      </c>
      <c r="W14" t="b">
        <f t="shared" si="1"/>
        <v>1</v>
      </c>
      <c r="X14" t="b">
        <f t="shared" si="2"/>
        <v>1</v>
      </c>
      <c r="Y14" t="b">
        <f t="shared" si="3"/>
        <v>1</v>
      </c>
      <c r="Z14" t="b">
        <f t="shared" si="4"/>
        <v>1</v>
      </c>
      <c r="AA14" t="b">
        <f t="shared" si="5"/>
        <v>1</v>
      </c>
      <c r="AB14" t="b">
        <f t="shared" si="6"/>
        <v>1</v>
      </c>
      <c r="AC14" t="b">
        <f t="shared" si="7"/>
        <v>1</v>
      </c>
      <c r="AD14" t="b">
        <f t="shared" si="8"/>
        <v>0</v>
      </c>
      <c r="AE14" t="b">
        <f t="shared" si="9"/>
        <v>0</v>
      </c>
      <c r="AF14" t="b">
        <f t="shared" si="10"/>
        <v>0</v>
      </c>
      <c r="AG14" t="b">
        <f t="shared" si="11"/>
        <v>0</v>
      </c>
      <c r="AH14" t="b">
        <f t="shared" si="12"/>
        <v>0</v>
      </c>
    </row>
    <row r="15" spans="1:34" x14ac:dyDescent="0.2">
      <c r="A15" t="s">
        <v>335</v>
      </c>
      <c r="B15" t="s">
        <v>47</v>
      </c>
      <c r="C15" t="s">
        <v>47</v>
      </c>
      <c r="D15">
        <v>0</v>
      </c>
      <c r="E15">
        <v>2</v>
      </c>
      <c r="F15">
        <v>1</v>
      </c>
      <c r="G15">
        <v>0</v>
      </c>
      <c r="H15">
        <v>1</v>
      </c>
      <c r="I15">
        <v>1</v>
      </c>
      <c r="J15">
        <v>1</v>
      </c>
      <c r="K15">
        <v>0</v>
      </c>
      <c r="L15">
        <v>2</v>
      </c>
      <c r="M15">
        <v>1</v>
      </c>
      <c r="N15">
        <v>1</v>
      </c>
      <c r="O15">
        <v>1</v>
      </c>
      <c r="P15">
        <v>0</v>
      </c>
      <c r="Q15">
        <v>2</v>
      </c>
      <c r="R15">
        <v>7</v>
      </c>
      <c r="S15">
        <v>4</v>
      </c>
      <c r="T15">
        <v>0</v>
      </c>
      <c r="V15" t="b">
        <f t="shared" si="0"/>
        <v>1</v>
      </c>
      <c r="W15" t="b">
        <f t="shared" si="1"/>
        <v>1</v>
      </c>
      <c r="X15" t="b">
        <f t="shared" si="2"/>
        <v>0</v>
      </c>
      <c r="Y15" t="b">
        <f t="shared" si="3"/>
        <v>0</v>
      </c>
      <c r="Z15" t="b">
        <f t="shared" si="4"/>
        <v>0</v>
      </c>
      <c r="AA15" t="b">
        <f t="shared" si="5"/>
        <v>0</v>
      </c>
      <c r="AB15" t="b">
        <f t="shared" si="6"/>
        <v>0</v>
      </c>
      <c r="AC15" t="b">
        <f t="shared" si="7"/>
        <v>0</v>
      </c>
      <c r="AD15" t="b">
        <f t="shared" si="8"/>
        <v>0</v>
      </c>
      <c r="AE15" t="b">
        <f t="shared" si="9"/>
        <v>0</v>
      </c>
      <c r="AF15" t="b">
        <f t="shared" si="10"/>
        <v>0</v>
      </c>
      <c r="AG15" t="b">
        <f t="shared" si="11"/>
        <v>0</v>
      </c>
      <c r="AH15" t="b">
        <f t="shared" si="12"/>
        <v>0</v>
      </c>
    </row>
    <row r="16" spans="1:34" x14ac:dyDescent="0.2">
      <c r="A16" t="s">
        <v>336</v>
      </c>
      <c r="B16" t="s">
        <v>47</v>
      </c>
      <c r="C16" t="s">
        <v>47</v>
      </c>
      <c r="D16">
        <v>2</v>
      </c>
      <c r="E16">
        <v>2</v>
      </c>
      <c r="F16">
        <v>2</v>
      </c>
      <c r="G16">
        <v>2</v>
      </c>
      <c r="H16">
        <v>2</v>
      </c>
      <c r="I16">
        <v>0</v>
      </c>
      <c r="J16">
        <v>2</v>
      </c>
      <c r="K16">
        <v>2</v>
      </c>
      <c r="L16">
        <v>1</v>
      </c>
      <c r="M16">
        <v>2</v>
      </c>
      <c r="O16">
        <v>2</v>
      </c>
      <c r="P16">
        <v>2</v>
      </c>
      <c r="Q16">
        <v>10</v>
      </c>
      <c r="R16">
        <v>1</v>
      </c>
      <c r="S16">
        <v>1</v>
      </c>
      <c r="T16">
        <v>1</v>
      </c>
      <c r="V16" t="b">
        <f t="shared" si="0"/>
        <v>1</v>
      </c>
      <c r="W16" t="b">
        <f t="shared" si="1"/>
        <v>1</v>
      </c>
      <c r="X16" t="b">
        <f t="shared" si="2"/>
        <v>1</v>
      </c>
      <c r="Y16" t="b">
        <f t="shared" si="3"/>
        <v>1</v>
      </c>
      <c r="Z16" t="b">
        <f t="shared" si="4"/>
        <v>1</v>
      </c>
      <c r="AA16" t="b">
        <f t="shared" si="5"/>
        <v>1</v>
      </c>
      <c r="AB16" t="b">
        <f t="shared" si="6"/>
        <v>1</v>
      </c>
      <c r="AC16" t="b">
        <f t="shared" si="7"/>
        <v>1</v>
      </c>
      <c r="AD16" t="b">
        <f t="shared" si="8"/>
        <v>1</v>
      </c>
      <c r="AE16" t="b">
        <f t="shared" si="9"/>
        <v>1</v>
      </c>
      <c r="AF16" t="b">
        <f t="shared" si="10"/>
        <v>0</v>
      </c>
      <c r="AG16" t="b">
        <f t="shared" si="11"/>
        <v>0</v>
      </c>
      <c r="AH16" t="b">
        <f t="shared" si="12"/>
        <v>0</v>
      </c>
    </row>
    <row r="17" spans="1:34" x14ac:dyDescent="0.2">
      <c r="A17" t="s">
        <v>141</v>
      </c>
      <c r="B17" t="s">
        <v>337</v>
      </c>
      <c r="C17" t="s">
        <v>337</v>
      </c>
      <c r="D17">
        <v>0</v>
      </c>
      <c r="E17">
        <v>1</v>
      </c>
      <c r="F17">
        <v>1</v>
      </c>
      <c r="G17">
        <v>2</v>
      </c>
      <c r="H17">
        <v>1</v>
      </c>
      <c r="I17">
        <v>0</v>
      </c>
      <c r="J17">
        <v>2</v>
      </c>
      <c r="K17">
        <v>1</v>
      </c>
      <c r="L17">
        <v>2</v>
      </c>
      <c r="M17">
        <v>2</v>
      </c>
      <c r="N17">
        <v>1</v>
      </c>
      <c r="O17">
        <v>2</v>
      </c>
      <c r="P17">
        <v>0</v>
      </c>
      <c r="Q17">
        <v>5</v>
      </c>
      <c r="R17">
        <v>5</v>
      </c>
      <c r="S17">
        <v>3</v>
      </c>
      <c r="T17">
        <v>0</v>
      </c>
      <c r="V17" t="b">
        <f t="shared" si="0"/>
        <v>1</v>
      </c>
      <c r="W17" t="b">
        <f t="shared" si="1"/>
        <v>1</v>
      </c>
      <c r="X17" t="b">
        <f t="shared" si="2"/>
        <v>1</v>
      </c>
      <c r="Y17" t="b">
        <f t="shared" si="3"/>
        <v>1</v>
      </c>
      <c r="Z17" t="b">
        <f t="shared" si="4"/>
        <v>1</v>
      </c>
      <c r="AA17" t="b">
        <f t="shared" si="5"/>
        <v>0</v>
      </c>
      <c r="AB17" t="b">
        <f t="shared" si="6"/>
        <v>0</v>
      </c>
      <c r="AC17" t="b">
        <f t="shared" si="7"/>
        <v>0</v>
      </c>
      <c r="AD17" t="b">
        <f t="shared" si="8"/>
        <v>0</v>
      </c>
      <c r="AE17" t="b">
        <f t="shared" si="9"/>
        <v>0</v>
      </c>
      <c r="AF17" t="b">
        <f t="shared" si="10"/>
        <v>0</v>
      </c>
      <c r="AG17" t="b">
        <f t="shared" si="11"/>
        <v>0</v>
      </c>
      <c r="AH17" t="b">
        <f t="shared" si="12"/>
        <v>0</v>
      </c>
    </row>
    <row r="18" spans="1:34" x14ac:dyDescent="0.2">
      <c r="A18" t="s">
        <v>158</v>
      </c>
      <c r="B18" t="s">
        <v>337</v>
      </c>
      <c r="C18" t="s">
        <v>337</v>
      </c>
      <c r="D18">
        <v>1</v>
      </c>
      <c r="E18">
        <v>2</v>
      </c>
      <c r="F18">
        <v>1</v>
      </c>
      <c r="G18">
        <v>2</v>
      </c>
      <c r="H18">
        <v>1</v>
      </c>
      <c r="I18">
        <v>2</v>
      </c>
      <c r="J18">
        <v>2</v>
      </c>
      <c r="K18">
        <v>1</v>
      </c>
      <c r="L18">
        <v>1</v>
      </c>
      <c r="M18">
        <v>2</v>
      </c>
      <c r="N18">
        <v>1</v>
      </c>
      <c r="O18">
        <v>2</v>
      </c>
      <c r="P18">
        <v>0</v>
      </c>
      <c r="Q18">
        <v>6</v>
      </c>
      <c r="R18">
        <v>6</v>
      </c>
      <c r="S18">
        <v>1</v>
      </c>
      <c r="T18">
        <v>0</v>
      </c>
      <c r="V18" t="b">
        <f t="shared" si="0"/>
        <v>1</v>
      </c>
      <c r="W18" t="b">
        <f t="shared" si="1"/>
        <v>1</v>
      </c>
      <c r="X18" t="b">
        <f t="shared" si="2"/>
        <v>1</v>
      </c>
      <c r="Y18" t="b">
        <f t="shared" si="3"/>
        <v>1</v>
      </c>
      <c r="Z18" t="b">
        <f t="shared" si="4"/>
        <v>1</v>
      </c>
      <c r="AA18" t="b">
        <f t="shared" si="5"/>
        <v>1</v>
      </c>
      <c r="AB18" t="b">
        <f t="shared" si="6"/>
        <v>0</v>
      </c>
      <c r="AC18" t="b">
        <f t="shared" si="7"/>
        <v>0</v>
      </c>
      <c r="AD18" t="b">
        <f t="shared" si="8"/>
        <v>0</v>
      </c>
      <c r="AE18" t="b">
        <f t="shared" si="9"/>
        <v>0</v>
      </c>
      <c r="AF18" t="b">
        <f t="shared" si="10"/>
        <v>0</v>
      </c>
      <c r="AG18" t="b">
        <f t="shared" si="11"/>
        <v>0</v>
      </c>
      <c r="AH18" t="b">
        <f t="shared" si="12"/>
        <v>0</v>
      </c>
    </row>
    <row r="19" spans="1:34" x14ac:dyDescent="0.2">
      <c r="A19" t="s">
        <v>338</v>
      </c>
      <c r="B19" t="s">
        <v>337</v>
      </c>
      <c r="C19" t="s">
        <v>337</v>
      </c>
      <c r="D19">
        <v>0</v>
      </c>
      <c r="E19">
        <v>0</v>
      </c>
      <c r="F19">
        <v>2</v>
      </c>
      <c r="G19">
        <v>2</v>
      </c>
      <c r="H19">
        <v>1</v>
      </c>
      <c r="I19">
        <v>2</v>
      </c>
      <c r="J19">
        <v>2</v>
      </c>
      <c r="K19">
        <v>1</v>
      </c>
      <c r="L19">
        <v>1</v>
      </c>
      <c r="M19">
        <v>0</v>
      </c>
      <c r="N19">
        <v>1</v>
      </c>
      <c r="O19">
        <v>2</v>
      </c>
      <c r="P19">
        <v>1</v>
      </c>
      <c r="Q19">
        <v>5</v>
      </c>
      <c r="R19">
        <v>5</v>
      </c>
      <c r="S19">
        <v>3</v>
      </c>
      <c r="T19">
        <v>0</v>
      </c>
      <c r="V19" t="b">
        <f t="shared" si="0"/>
        <v>1</v>
      </c>
      <c r="W19" t="b">
        <f t="shared" si="1"/>
        <v>1</v>
      </c>
      <c r="X19" t="b">
        <f t="shared" si="2"/>
        <v>1</v>
      </c>
      <c r="Y19" t="b">
        <f t="shared" si="3"/>
        <v>1</v>
      </c>
      <c r="Z19" t="b">
        <f t="shared" si="4"/>
        <v>1</v>
      </c>
      <c r="AA19" t="b">
        <f t="shared" si="5"/>
        <v>0</v>
      </c>
      <c r="AB19" t="b">
        <f t="shared" si="6"/>
        <v>0</v>
      </c>
      <c r="AC19" t="b">
        <f t="shared" si="7"/>
        <v>0</v>
      </c>
      <c r="AD19" t="b">
        <f t="shared" si="8"/>
        <v>0</v>
      </c>
      <c r="AE19" t="b">
        <f t="shared" si="9"/>
        <v>0</v>
      </c>
      <c r="AF19" t="b">
        <f t="shared" si="10"/>
        <v>0</v>
      </c>
      <c r="AG19" t="b">
        <f t="shared" si="11"/>
        <v>0</v>
      </c>
      <c r="AH19" t="b">
        <f t="shared" si="12"/>
        <v>0</v>
      </c>
    </row>
    <row r="20" spans="1:34" x14ac:dyDescent="0.2">
      <c r="A20" t="s">
        <v>140</v>
      </c>
      <c r="B20" t="s">
        <v>337</v>
      </c>
      <c r="C20" t="s">
        <v>337</v>
      </c>
      <c r="D20">
        <v>1</v>
      </c>
      <c r="E20">
        <v>0</v>
      </c>
      <c r="F20">
        <v>2</v>
      </c>
      <c r="G20">
        <v>2</v>
      </c>
      <c r="H20">
        <v>1</v>
      </c>
      <c r="I20">
        <v>2</v>
      </c>
      <c r="J20">
        <v>2</v>
      </c>
      <c r="K20">
        <v>1</v>
      </c>
      <c r="L20">
        <v>1</v>
      </c>
      <c r="M20">
        <v>1</v>
      </c>
      <c r="N20">
        <v>1</v>
      </c>
      <c r="O20">
        <v>2</v>
      </c>
      <c r="P20">
        <v>1</v>
      </c>
      <c r="Q20">
        <v>5</v>
      </c>
      <c r="R20">
        <v>7</v>
      </c>
      <c r="S20">
        <v>1</v>
      </c>
      <c r="T20">
        <v>0</v>
      </c>
      <c r="V20" t="b">
        <f t="shared" si="0"/>
        <v>1</v>
      </c>
      <c r="W20" t="b">
        <f t="shared" si="1"/>
        <v>1</v>
      </c>
      <c r="X20" t="b">
        <f t="shared" si="2"/>
        <v>1</v>
      </c>
      <c r="Y20" t="b">
        <f t="shared" si="3"/>
        <v>1</v>
      </c>
      <c r="Z20" t="b">
        <f t="shared" si="4"/>
        <v>1</v>
      </c>
      <c r="AA20" t="b">
        <f t="shared" si="5"/>
        <v>0</v>
      </c>
      <c r="AB20" t="b">
        <f t="shared" si="6"/>
        <v>0</v>
      </c>
      <c r="AC20" t="b">
        <f t="shared" si="7"/>
        <v>0</v>
      </c>
      <c r="AD20" t="b">
        <f t="shared" si="8"/>
        <v>0</v>
      </c>
      <c r="AE20" t="b">
        <f t="shared" si="9"/>
        <v>0</v>
      </c>
      <c r="AF20" t="b">
        <f t="shared" si="10"/>
        <v>0</v>
      </c>
      <c r="AG20" t="b">
        <f t="shared" si="11"/>
        <v>0</v>
      </c>
      <c r="AH20" t="b">
        <f t="shared" si="12"/>
        <v>0</v>
      </c>
    </row>
    <row r="21" spans="1:34" x14ac:dyDescent="0.2">
      <c r="A21" t="s">
        <v>124</v>
      </c>
      <c r="B21" t="s">
        <v>337</v>
      </c>
      <c r="C21" t="s">
        <v>337</v>
      </c>
      <c r="D21">
        <v>1</v>
      </c>
      <c r="E21">
        <v>0</v>
      </c>
      <c r="F21">
        <v>2</v>
      </c>
      <c r="G21">
        <v>2</v>
      </c>
      <c r="H21">
        <v>2</v>
      </c>
      <c r="I21">
        <v>2</v>
      </c>
      <c r="J21">
        <v>2</v>
      </c>
      <c r="K21">
        <v>1</v>
      </c>
      <c r="L21">
        <v>1</v>
      </c>
      <c r="M21">
        <v>1</v>
      </c>
      <c r="N21">
        <v>1</v>
      </c>
      <c r="O21">
        <v>2</v>
      </c>
      <c r="P21">
        <v>1</v>
      </c>
      <c r="Q21">
        <v>6</v>
      </c>
      <c r="R21">
        <v>6</v>
      </c>
      <c r="S21">
        <v>1</v>
      </c>
      <c r="T21">
        <v>0</v>
      </c>
      <c r="V21" t="b">
        <f t="shared" si="0"/>
        <v>1</v>
      </c>
      <c r="W21" t="b">
        <f t="shared" si="1"/>
        <v>1</v>
      </c>
      <c r="X21" t="b">
        <f t="shared" si="2"/>
        <v>1</v>
      </c>
      <c r="Y21" t="b">
        <f t="shared" si="3"/>
        <v>1</v>
      </c>
      <c r="Z21" t="b">
        <f t="shared" si="4"/>
        <v>1</v>
      </c>
      <c r="AA21" t="b">
        <f t="shared" si="5"/>
        <v>1</v>
      </c>
      <c r="AB21" t="b">
        <f t="shared" si="6"/>
        <v>0</v>
      </c>
      <c r="AC21" t="b">
        <f t="shared" si="7"/>
        <v>0</v>
      </c>
      <c r="AD21" t="b">
        <f t="shared" si="8"/>
        <v>0</v>
      </c>
      <c r="AE21" t="b">
        <f t="shared" si="9"/>
        <v>0</v>
      </c>
      <c r="AF21" t="b">
        <f t="shared" si="10"/>
        <v>0</v>
      </c>
      <c r="AG21" t="b">
        <f t="shared" si="11"/>
        <v>0</v>
      </c>
      <c r="AH21" t="b">
        <f t="shared" si="12"/>
        <v>0</v>
      </c>
    </row>
    <row r="22" spans="1:34" x14ac:dyDescent="0.2">
      <c r="A22" t="s">
        <v>339</v>
      </c>
      <c r="B22" t="s">
        <v>337</v>
      </c>
      <c r="C22" t="s">
        <v>337</v>
      </c>
      <c r="D22">
        <v>1</v>
      </c>
      <c r="E22">
        <v>0</v>
      </c>
      <c r="F22">
        <v>1</v>
      </c>
      <c r="G22">
        <v>2</v>
      </c>
      <c r="H22">
        <v>1</v>
      </c>
      <c r="I22">
        <v>2</v>
      </c>
      <c r="J22">
        <v>2</v>
      </c>
      <c r="K22">
        <v>2</v>
      </c>
      <c r="L22">
        <v>1</v>
      </c>
      <c r="M22">
        <v>1</v>
      </c>
      <c r="N22">
        <v>1</v>
      </c>
      <c r="O22">
        <v>2</v>
      </c>
      <c r="P22">
        <v>1</v>
      </c>
      <c r="Q22">
        <v>5</v>
      </c>
      <c r="R22">
        <v>7</v>
      </c>
      <c r="S22">
        <v>1</v>
      </c>
      <c r="T22">
        <v>0</v>
      </c>
      <c r="V22" t="b">
        <f t="shared" si="0"/>
        <v>1</v>
      </c>
      <c r="W22" t="b">
        <f t="shared" si="1"/>
        <v>1</v>
      </c>
      <c r="X22" t="b">
        <f t="shared" si="2"/>
        <v>1</v>
      </c>
      <c r="Y22" t="b">
        <f t="shared" si="3"/>
        <v>1</v>
      </c>
      <c r="Z22" t="b">
        <f t="shared" si="4"/>
        <v>1</v>
      </c>
      <c r="AA22" t="b">
        <f t="shared" si="5"/>
        <v>0</v>
      </c>
      <c r="AB22" t="b">
        <f t="shared" si="6"/>
        <v>0</v>
      </c>
      <c r="AC22" t="b">
        <f t="shared" si="7"/>
        <v>0</v>
      </c>
      <c r="AD22" t="b">
        <f t="shared" si="8"/>
        <v>0</v>
      </c>
      <c r="AE22" t="b">
        <f t="shared" si="9"/>
        <v>0</v>
      </c>
      <c r="AF22" t="b">
        <f t="shared" si="10"/>
        <v>0</v>
      </c>
      <c r="AG22" t="b">
        <f t="shared" si="11"/>
        <v>0</v>
      </c>
      <c r="AH22" t="b">
        <f t="shared" si="12"/>
        <v>0</v>
      </c>
    </row>
    <row r="23" spans="1:34" x14ac:dyDescent="0.2">
      <c r="A23" t="s">
        <v>340</v>
      </c>
      <c r="B23" t="s">
        <v>337</v>
      </c>
      <c r="C23" t="s">
        <v>337</v>
      </c>
      <c r="D23">
        <v>0</v>
      </c>
      <c r="E23">
        <v>1</v>
      </c>
      <c r="F23">
        <v>1</v>
      </c>
      <c r="G23">
        <v>0</v>
      </c>
      <c r="H23">
        <v>0</v>
      </c>
      <c r="I23">
        <v>2</v>
      </c>
      <c r="J23">
        <v>2</v>
      </c>
      <c r="K23">
        <v>2</v>
      </c>
      <c r="L23">
        <v>2</v>
      </c>
      <c r="M23">
        <v>0</v>
      </c>
      <c r="N23">
        <v>1</v>
      </c>
      <c r="O23">
        <v>2</v>
      </c>
      <c r="P23">
        <v>0</v>
      </c>
      <c r="Q23">
        <v>5</v>
      </c>
      <c r="R23">
        <v>3</v>
      </c>
      <c r="S23">
        <v>5</v>
      </c>
      <c r="T23">
        <v>0</v>
      </c>
      <c r="V23" t="b">
        <f t="shared" si="0"/>
        <v>1</v>
      </c>
      <c r="W23" t="b">
        <f t="shared" si="1"/>
        <v>1</v>
      </c>
      <c r="X23" t="b">
        <f t="shared" si="2"/>
        <v>1</v>
      </c>
      <c r="Y23" t="b">
        <f t="shared" si="3"/>
        <v>1</v>
      </c>
      <c r="Z23" t="b">
        <f t="shared" si="4"/>
        <v>1</v>
      </c>
      <c r="AA23" t="b">
        <f t="shared" si="5"/>
        <v>0</v>
      </c>
      <c r="AB23" t="b">
        <f t="shared" si="6"/>
        <v>0</v>
      </c>
      <c r="AC23" t="b">
        <f t="shared" si="7"/>
        <v>0</v>
      </c>
      <c r="AD23" t="b">
        <f t="shared" si="8"/>
        <v>0</v>
      </c>
      <c r="AE23" t="b">
        <f t="shared" si="9"/>
        <v>0</v>
      </c>
      <c r="AF23" t="b">
        <f t="shared" si="10"/>
        <v>0</v>
      </c>
      <c r="AG23" t="b">
        <f t="shared" si="11"/>
        <v>0</v>
      </c>
      <c r="AH23" t="b">
        <f t="shared" si="12"/>
        <v>0</v>
      </c>
    </row>
    <row r="24" spans="1:34" x14ac:dyDescent="0.2">
      <c r="A24" t="s">
        <v>341</v>
      </c>
      <c r="B24" t="s">
        <v>337</v>
      </c>
      <c r="C24" t="s">
        <v>337</v>
      </c>
      <c r="D24">
        <v>0</v>
      </c>
      <c r="E24">
        <v>2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1</v>
      </c>
      <c r="O24">
        <v>0</v>
      </c>
      <c r="P24">
        <v>0</v>
      </c>
      <c r="Q24">
        <v>1</v>
      </c>
      <c r="R24">
        <v>2</v>
      </c>
      <c r="S24">
        <v>10</v>
      </c>
      <c r="T24">
        <v>0</v>
      </c>
      <c r="V24" t="b">
        <f t="shared" si="0"/>
        <v>1</v>
      </c>
      <c r="W24" t="b">
        <f t="shared" si="1"/>
        <v>0</v>
      </c>
      <c r="X24" t="b">
        <f t="shared" si="2"/>
        <v>0</v>
      </c>
      <c r="Y24" t="b">
        <f t="shared" si="3"/>
        <v>0</v>
      </c>
      <c r="Z24" t="b">
        <f t="shared" si="4"/>
        <v>0</v>
      </c>
      <c r="AA24" t="b">
        <f t="shared" si="5"/>
        <v>0</v>
      </c>
      <c r="AB24" t="b">
        <f t="shared" si="6"/>
        <v>0</v>
      </c>
      <c r="AC24" t="b">
        <f t="shared" si="7"/>
        <v>0</v>
      </c>
      <c r="AD24" t="b">
        <f t="shared" si="8"/>
        <v>0</v>
      </c>
      <c r="AE24" t="b">
        <f t="shared" si="9"/>
        <v>0</v>
      </c>
      <c r="AF24" t="b">
        <f t="shared" si="10"/>
        <v>0</v>
      </c>
      <c r="AG24" t="b">
        <f t="shared" si="11"/>
        <v>0</v>
      </c>
      <c r="AH24" t="b">
        <f t="shared" si="12"/>
        <v>0</v>
      </c>
    </row>
    <row r="25" spans="1:34" x14ac:dyDescent="0.2">
      <c r="A25" t="s">
        <v>342</v>
      </c>
      <c r="B25" t="s">
        <v>55</v>
      </c>
      <c r="C25" t="s">
        <v>55</v>
      </c>
      <c r="D25">
        <v>1</v>
      </c>
      <c r="E25">
        <v>2</v>
      </c>
      <c r="F25">
        <v>2</v>
      </c>
      <c r="G25">
        <v>2</v>
      </c>
      <c r="H25">
        <v>1</v>
      </c>
      <c r="I25">
        <v>1</v>
      </c>
      <c r="J25">
        <v>2</v>
      </c>
      <c r="K25">
        <v>2</v>
      </c>
      <c r="L25">
        <v>1</v>
      </c>
      <c r="M25">
        <v>1</v>
      </c>
      <c r="N25">
        <v>1</v>
      </c>
      <c r="O25">
        <v>2</v>
      </c>
      <c r="P25">
        <v>1</v>
      </c>
      <c r="Q25">
        <v>6</v>
      </c>
      <c r="R25">
        <v>7</v>
      </c>
      <c r="S25">
        <v>0</v>
      </c>
      <c r="T25">
        <v>0</v>
      </c>
      <c r="V25" t="b">
        <f t="shared" si="0"/>
        <v>1</v>
      </c>
      <c r="W25" t="b">
        <f t="shared" si="1"/>
        <v>1</v>
      </c>
      <c r="X25" t="b">
        <f t="shared" si="2"/>
        <v>1</v>
      </c>
      <c r="Y25" t="b">
        <f t="shared" si="3"/>
        <v>1</v>
      </c>
      <c r="Z25" t="b">
        <f t="shared" si="4"/>
        <v>1</v>
      </c>
      <c r="AA25" t="b">
        <f t="shared" si="5"/>
        <v>1</v>
      </c>
      <c r="AB25" t="b">
        <f t="shared" si="6"/>
        <v>0</v>
      </c>
      <c r="AC25" t="b">
        <f t="shared" si="7"/>
        <v>0</v>
      </c>
      <c r="AD25" t="b">
        <f t="shared" si="8"/>
        <v>0</v>
      </c>
      <c r="AE25" t="b">
        <f t="shared" si="9"/>
        <v>0</v>
      </c>
      <c r="AF25" t="b">
        <f t="shared" si="10"/>
        <v>0</v>
      </c>
      <c r="AG25" t="b">
        <f t="shared" si="11"/>
        <v>0</v>
      </c>
      <c r="AH25" t="b">
        <f t="shared" si="12"/>
        <v>0</v>
      </c>
    </row>
    <row r="26" spans="1:34" x14ac:dyDescent="0.2">
      <c r="A26" t="s">
        <v>343</v>
      </c>
      <c r="B26" t="s">
        <v>55</v>
      </c>
      <c r="C26" t="s">
        <v>55</v>
      </c>
      <c r="D26">
        <v>0</v>
      </c>
      <c r="E26">
        <v>0</v>
      </c>
      <c r="F26">
        <v>2</v>
      </c>
      <c r="G26">
        <v>2</v>
      </c>
      <c r="H26">
        <v>1</v>
      </c>
      <c r="I26">
        <v>0</v>
      </c>
      <c r="J26">
        <v>1</v>
      </c>
      <c r="K26">
        <v>0</v>
      </c>
      <c r="L26">
        <v>1</v>
      </c>
      <c r="M26">
        <v>2</v>
      </c>
      <c r="N26">
        <v>0</v>
      </c>
      <c r="O26">
        <v>2</v>
      </c>
      <c r="P26">
        <v>1</v>
      </c>
      <c r="Q26">
        <v>4</v>
      </c>
      <c r="R26">
        <v>4</v>
      </c>
      <c r="S26">
        <v>5</v>
      </c>
      <c r="T26">
        <v>0</v>
      </c>
      <c r="V26" t="b">
        <f t="shared" si="0"/>
        <v>1</v>
      </c>
      <c r="W26" t="b">
        <f t="shared" si="1"/>
        <v>1</v>
      </c>
      <c r="X26" t="b">
        <f t="shared" si="2"/>
        <v>1</v>
      </c>
      <c r="Y26" t="b">
        <f t="shared" si="3"/>
        <v>1</v>
      </c>
      <c r="Z26" t="b">
        <f t="shared" si="4"/>
        <v>0</v>
      </c>
      <c r="AA26" t="b">
        <f t="shared" si="5"/>
        <v>0</v>
      </c>
      <c r="AB26" t="b">
        <f t="shared" si="6"/>
        <v>0</v>
      </c>
      <c r="AC26" t="b">
        <f t="shared" si="7"/>
        <v>0</v>
      </c>
      <c r="AD26" t="b">
        <f t="shared" si="8"/>
        <v>0</v>
      </c>
      <c r="AE26" t="b">
        <f t="shared" si="9"/>
        <v>0</v>
      </c>
      <c r="AF26" t="b">
        <f t="shared" si="10"/>
        <v>0</v>
      </c>
      <c r="AG26" t="b">
        <f t="shared" si="11"/>
        <v>0</v>
      </c>
      <c r="AH26" t="b">
        <f t="shared" si="12"/>
        <v>0</v>
      </c>
    </row>
    <row r="27" spans="1:34" x14ac:dyDescent="0.2">
      <c r="A27" t="s">
        <v>130</v>
      </c>
      <c r="B27" t="s">
        <v>55</v>
      </c>
      <c r="C27" t="s">
        <v>55</v>
      </c>
      <c r="D27">
        <v>0</v>
      </c>
      <c r="E27">
        <v>2</v>
      </c>
      <c r="F27">
        <v>2</v>
      </c>
      <c r="G27">
        <v>0</v>
      </c>
      <c r="H27">
        <v>0</v>
      </c>
      <c r="I27">
        <v>0</v>
      </c>
      <c r="J27">
        <v>1</v>
      </c>
      <c r="K27">
        <v>0</v>
      </c>
      <c r="L27">
        <v>2</v>
      </c>
      <c r="M27">
        <v>1</v>
      </c>
      <c r="N27">
        <v>0</v>
      </c>
      <c r="O27">
        <v>2</v>
      </c>
      <c r="P27">
        <v>0</v>
      </c>
      <c r="Q27">
        <v>4</v>
      </c>
      <c r="R27">
        <v>2</v>
      </c>
      <c r="S27">
        <v>7</v>
      </c>
      <c r="T27">
        <v>0</v>
      </c>
      <c r="V27" t="b">
        <f t="shared" si="0"/>
        <v>1</v>
      </c>
      <c r="W27" t="b">
        <f t="shared" si="1"/>
        <v>1</v>
      </c>
      <c r="X27" t="b">
        <f t="shared" si="2"/>
        <v>1</v>
      </c>
      <c r="Y27" t="b">
        <f t="shared" si="3"/>
        <v>1</v>
      </c>
      <c r="Z27" t="b">
        <f t="shared" si="4"/>
        <v>0</v>
      </c>
      <c r="AA27" t="b">
        <f t="shared" si="5"/>
        <v>0</v>
      </c>
      <c r="AB27" t="b">
        <f t="shared" si="6"/>
        <v>0</v>
      </c>
      <c r="AC27" t="b">
        <f t="shared" si="7"/>
        <v>0</v>
      </c>
      <c r="AD27" t="b">
        <f t="shared" si="8"/>
        <v>0</v>
      </c>
      <c r="AE27" t="b">
        <f t="shared" si="9"/>
        <v>0</v>
      </c>
      <c r="AF27" t="b">
        <f t="shared" si="10"/>
        <v>0</v>
      </c>
      <c r="AG27" t="b">
        <f t="shared" si="11"/>
        <v>0</v>
      </c>
      <c r="AH27" t="b">
        <f t="shared" si="12"/>
        <v>0</v>
      </c>
    </row>
    <row r="28" spans="1:34" x14ac:dyDescent="0.2">
      <c r="A28" t="s">
        <v>124</v>
      </c>
      <c r="B28" t="s">
        <v>55</v>
      </c>
      <c r="C28" t="s">
        <v>55</v>
      </c>
      <c r="D28">
        <v>0</v>
      </c>
      <c r="E28">
        <v>2</v>
      </c>
      <c r="F28">
        <v>2</v>
      </c>
      <c r="G28">
        <v>0</v>
      </c>
      <c r="H28">
        <v>1</v>
      </c>
      <c r="I28">
        <v>1</v>
      </c>
      <c r="J28">
        <v>0</v>
      </c>
      <c r="K28">
        <v>0</v>
      </c>
      <c r="L28">
        <v>2</v>
      </c>
      <c r="M28">
        <v>1</v>
      </c>
      <c r="N28">
        <v>0</v>
      </c>
      <c r="O28">
        <v>2</v>
      </c>
      <c r="P28">
        <v>0</v>
      </c>
      <c r="Q28">
        <v>4</v>
      </c>
      <c r="R28">
        <v>3</v>
      </c>
      <c r="S28">
        <v>6</v>
      </c>
      <c r="T28">
        <v>0</v>
      </c>
      <c r="V28" t="b">
        <f t="shared" si="0"/>
        <v>1</v>
      </c>
      <c r="W28" t="b">
        <f t="shared" si="1"/>
        <v>1</v>
      </c>
      <c r="X28" t="b">
        <f t="shared" si="2"/>
        <v>1</v>
      </c>
      <c r="Y28" t="b">
        <f t="shared" si="3"/>
        <v>1</v>
      </c>
      <c r="Z28" t="b">
        <f t="shared" si="4"/>
        <v>0</v>
      </c>
      <c r="AA28" t="b">
        <f t="shared" si="5"/>
        <v>0</v>
      </c>
      <c r="AB28" t="b">
        <f t="shared" si="6"/>
        <v>0</v>
      </c>
      <c r="AC28" t="b">
        <f t="shared" si="7"/>
        <v>0</v>
      </c>
      <c r="AD28" t="b">
        <f t="shared" si="8"/>
        <v>0</v>
      </c>
      <c r="AE28" t="b">
        <f t="shared" si="9"/>
        <v>0</v>
      </c>
      <c r="AF28" t="b">
        <f t="shared" si="10"/>
        <v>0</v>
      </c>
      <c r="AG28" t="b">
        <f t="shared" si="11"/>
        <v>0</v>
      </c>
      <c r="AH28" t="b">
        <f t="shared" si="12"/>
        <v>0</v>
      </c>
    </row>
    <row r="29" spans="1:34" x14ac:dyDescent="0.2">
      <c r="A29" t="s">
        <v>344</v>
      </c>
      <c r="B29" t="s">
        <v>55</v>
      </c>
      <c r="C29" t="s">
        <v>55</v>
      </c>
      <c r="D29">
        <v>0</v>
      </c>
      <c r="E29">
        <v>0</v>
      </c>
      <c r="F29">
        <v>2</v>
      </c>
      <c r="G29">
        <v>0</v>
      </c>
      <c r="H29">
        <v>0</v>
      </c>
      <c r="I29">
        <v>1</v>
      </c>
      <c r="J29">
        <v>0</v>
      </c>
      <c r="K29">
        <v>0</v>
      </c>
      <c r="L29">
        <v>2</v>
      </c>
      <c r="M29">
        <v>2</v>
      </c>
      <c r="N29">
        <v>0</v>
      </c>
      <c r="O29">
        <v>2</v>
      </c>
      <c r="P29">
        <v>0</v>
      </c>
      <c r="Q29">
        <v>4</v>
      </c>
      <c r="R29">
        <v>1</v>
      </c>
      <c r="S29">
        <v>8</v>
      </c>
      <c r="T29">
        <v>0</v>
      </c>
      <c r="V29" t="b">
        <f t="shared" si="0"/>
        <v>1</v>
      </c>
      <c r="W29" t="b">
        <f t="shared" si="1"/>
        <v>1</v>
      </c>
      <c r="X29" t="b">
        <f t="shared" si="2"/>
        <v>1</v>
      </c>
      <c r="Y29" t="b">
        <f t="shared" si="3"/>
        <v>1</v>
      </c>
      <c r="Z29" t="b">
        <f t="shared" si="4"/>
        <v>0</v>
      </c>
      <c r="AA29" t="b">
        <f t="shared" si="5"/>
        <v>0</v>
      </c>
      <c r="AB29" t="b">
        <f t="shared" si="6"/>
        <v>0</v>
      </c>
      <c r="AC29" t="b">
        <f t="shared" si="7"/>
        <v>0</v>
      </c>
      <c r="AD29" t="b">
        <f t="shared" si="8"/>
        <v>0</v>
      </c>
      <c r="AE29" t="b">
        <f t="shared" si="9"/>
        <v>0</v>
      </c>
      <c r="AF29" t="b">
        <f t="shared" si="10"/>
        <v>0</v>
      </c>
      <c r="AG29" t="b">
        <f t="shared" si="11"/>
        <v>0</v>
      </c>
      <c r="AH29" t="b">
        <f t="shared" si="12"/>
        <v>0</v>
      </c>
    </row>
    <row r="30" spans="1:34" x14ac:dyDescent="0.2">
      <c r="A30" t="s">
        <v>56</v>
      </c>
      <c r="B30" t="s">
        <v>55</v>
      </c>
      <c r="C30" t="s">
        <v>55</v>
      </c>
      <c r="D30">
        <v>1</v>
      </c>
      <c r="E30">
        <v>0</v>
      </c>
      <c r="F30">
        <v>1</v>
      </c>
      <c r="G30">
        <v>0</v>
      </c>
      <c r="H30">
        <v>0</v>
      </c>
      <c r="I30">
        <v>0</v>
      </c>
      <c r="J30">
        <v>2</v>
      </c>
      <c r="K30">
        <v>0</v>
      </c>
      <c r="L30">
        <v>1</v>
      </c>
      <c r="M30">
        <v>1</v>
      </c>
      <c r="N30">
        <v>0</v>
      </c>
      <c r="O30">
        <v>1</v>
      </c>
      <c r="P30">
        <v>0</v>
      </c>
      <c r="Q30">
        <v>1</v>
      </c>
      <c r="R30">
        <v>5</v>
      </c>
      <c r="S30">
        <v>7</v>
      </c>
      <c r="T30">
        <v>0</v>
      </c>
      <c r="V30" t="b">
        <f t="shared" si="0"/>
        <v>1</v>
      </c>
      <c r="W30" t="b">
        <f t="shared" si="1"/>
        <v>0</v>
      </c>
      <c r="X30" t="b">
        <f t="shared" si="2"/>
        <v>0</v>
      </c>
      <c r="Y30" t="b">
        <f t="shared" si="3"/>
        <v>0</v>
      </c>
      <c r="Z30" t="b">
        <f t="shared" si="4"/>
        <v>0</v>
      </c>
      <c r="AA30" t="b">
        <f t="shared" si="5"/>
        <v>0</v>
      </c>
      <c r="AB30" t="b">
        <f t="shared" si="6"/>
        <v>0</v>
      </c>
      <c r="AC30" t="b">
        <f t="shared" si="7"/>
        <v>0</v>
      </c>
      <c r="AD30" t="b">
        <f t="shared" si="8"/>
        <v>0</v>
      </c>
      <c r="AE30" t="b">
        <f t="shared" si="9"/>
        <v>0</v>
      </c>
      <c r="AF30" t="b">
        <f t="shared" si="10"/>
        <v>0</v>
      </c>
      <c r="AG30" t="b">
        <f t="shared" si="11"/>
        <v>0</v>
      </c>
      <c r="AH30" t="b">
        <f t="shared" si="12"/>
        <v>0</v>
      </c>
    </row>
    <row r="31" spans="1:34" x14ac:dyDescent="0.2">
      <c r="A31" t="s">
        <v>143</v>
      </c>
      <c r="B31" t="s">
        <v>55</v>
      </c>
      <c r="C31" t="s">
        <v>55</v>
      </c>
      <c r="D31">
        <v>0</v>
      </c>
      <c r="E31">
        <v>2</v>
      </c>
      <c r="F31">
        <v>2</v>
      </c>
      <c r="G31">
        <v>0</v>
      </c>
      <c r="H31">
        <v>1</v>
      </c>
      <c r="I31">
        <v>1</v>
      </c>
      <c r="J31">
        <v>1</v>
      </c>
      <c r="K31">
        <v>0</v>
      </c>
      <c r="L31">
        <v>2</v>
      </c>
      <c r="M31">
        <v>2</v>
      </c>
      <c r="O31">
        <v>2</v>
      </c>
      <c r="P31">
        <v>0</v>
      </c>
      <c r="Q31">
        <v>5</v>
      </c>
      <c r="R31">
        <v>3</v>
      </c>
      <c r="S31">
        <v>4</v>
      </c>
      <c r="T31">
        <v>1</v>
      </c>
      <c r="V31" t="b">
        <f t="shared" si="0"/>
        <v>1</v>
      </c>
      <c r="W31" t="b">
        <f t="shared" si="1"/>
        <v>1</v>
      </c>
      <c r="X31" t="b">
        <f t="shared" si="2"/>
        <v>1</v>
      </c>
      <c r="Y31" t="b">
        <f t="shared" si="3"/>
        <v>1</v>
      </c>
      <c r="Z31" t="b">
        <f t="shared" si="4"/>
        <v>1</v>
      </c>
      <c r="AA31" t="b">
        <f t="shared" si="5"/>
        <v>0</v>
      </c>
      <c r="AB31" t="b">
        <f t="shared" si="6"/>
        <v>0</v>
      </c>
      <c r="AC31" t="b">
        <f t="shared" si="7"/>
        <v>0</v>
      </c>
      <c r="AD31" t="b">
        <f t="shared" si="8"/>
        <v>0</v>
      </c>
      <c r="AE31" t="b">
        <f t="shared" si="9"/>
        <v>0</v>
      </c>
      <c r="AF31" t="b">
        <f t="shared" si="10"/>
        <v>0</v>
      </c>
      <c r="AG31" t="b">
        <f t="shared" si="11"/>
        <v>0</v>
      </c>
      <c r="AH31" t="b">
        <f t="shared" si="12"/>
        <v>0</v>
      </c>
    </row>
    <row r="32" spans="1:34" x14ac:dyDescent="0.2">
      <c r="A32" t="s">
        <v>57</v>
      </c>
      <c r="B32" t="s">
        <v>58</v>
      </c>
      <c r="C32" t="s">
        <v>58</v>
      </c>
      <c r="D32">
        <v>1</v>
      </c>
      <c r="E32">
        <v>1</v>
      </c>
      <c r="F32">
        <v>2</v>
      </c>
      <c r="G32">
        <v>1</v>
      </c>
      <c r="H32">
        <v>2</v>
      </c>
      <c r="I32">
        <v>1</v>
      </c>
      <c r="J32">
        <v>2</v>
      </c>
      <c r="K32">
        <v>1</v>
      </c>
      <c r="L32">
        <v>1</v>
      </c>
      <c r="M32">
        <v>2</v>
      </c>
      <c r="O32">
        <v>2</v>
      </c>
      <c r="P32">
        <v>0</v>
      </c>
      <c r="Q32">
        <v>5</v>
      </c>
      <c r="R32">
        <v>6</v>
      </c>
      <c r="S32">
        <v>1</v>
      </c>
      <c r="T32">
        <v>1</v>
      </c>
      <c r="V32" t="b">
        <f t="shared" si="0"/>
        <v>1</v>
      </c>
      <c r="W32" t="b">
        <f t="shared" si="1"/>
        <v>1</v>
      </c>
      <c r="X32" t="b">
        <f t="shared" si="2"/>
        <v>1</v>
      </c>
      <c r="Y32" t="b">
        <f t="shared" si="3"/>
        <v>1</v>
      </c>
      <c r="Z32" t="b">
        <f t="shared" si="4"/>
        <v>1</v>
      </c>
      <c r="AA32" t="b">
        <f t="shared" si="5"/>
        <v>0</v>
      </c>
      <c r="AB32" t="b">
        <f t="shared" si="6"/>
        <v>0</v>
      </c>
      <c r="AC32" t="b">
        <f t="shared" si="7"/>
        <v>0</v>
      </c>
      <c r="AD32" t="b">
        <f t="shared" si="8"/>
        <v>0</v>
      </c>
      <c r="AE32" t="b">
        <f t="shared" si="9"/>
        <v>0</v>
      </c>
      <c r="AF32" t="b">
        <f t="shared" si="10"/>
        <v>0</v>
      </c>
      <c r="AG32" t="b">
        <f t="shared" si="11"/>
        <v>0</v>
      </c>
      <c r="AH32" t="b">
        <f t="shared" si="12"/>
        <v>0</v>
      </c>
    </row>
    <row r="33" spans="1:34" x14ac:dyDescent="0.2">
      <c r="A33" t="s">
        <v>345</v>
      </c>
      <c r="B33" t="s">
        <v>61</v>
      </c>
      <c r="C33" t="s">
        <v>44</v>
      </c>
      <c r="D33">
        <v>2</v>
      </c>
      <c r="E33">
        <v>0</v>
      </c>
      <c r="F33">
        <v>2</v>
      </c>
      <c r="G33">
        <v>2</v>
      </c>
      <c r="H33">
        <v>2</v>
      </c>
      <c r="I33">
        <v>1</v>
      </c>
      <c r="J33">
        <v>2</v>
      </c>
      <c r="K33">
        <v>2</v>
      </c>
      <c r="L33">
        <v>1</v>
      </c>
      <c r="M33">
        <v>2</v>
      </c>
      <c r="N33">
        <v>2</v>
      </c>
      <c r="O33">
        <v>2</v>
      </c>
      <c r="P33">
        <v>2</v>
      </c>
      <c r="Q33">
        <v>10</v>
      </c>
      <c r="R33">
        <v>2</v>
      </c>
      <c r="S33">
        <v>1</v>
      </c>
      <c r="T33">
        <v>0</v>
      </c>
      <c r="V33" t="b">
        <f t="shared" si="0"/>
        <v>1</v>
      </c>
      <c r="W33" t="b">
        <f t="shared" si="1"/>
        <v>1</v>
      </c>
      <c r="X33" t="b">
        <f t="shared" si="2"/>
        <v>1</v>
      </c>
      <c r="Y33" t="b">
        <f t="shared" si="3"/>
        <v>1</v>
      </c>
      <c r="Z33" t="b">
        <f t="shared" si="4"/>
        <v>1</v>
      </c>
      <c r="AA33" t="b">
        <f t="shared" si="5"/>
        <v>1</v>
      </c>
      <c r="AB33" t="b">
        <f t="shared" si="6"/>
        <v>1</v>
      </c>
      <c r="AC33" t="b">
        <f t="shared" si="7"/>
        <v>1</v>
      </c>
      <c r="AD33" t="b">
        <f t="shared" si="8"/>
        <v>1</v>
      </c>
      <c r="AE33" t="b">
        <f t="shared" si="9"/>
        <v>1</v>
      </c>
      <c r="AF33" t="b">
        <f t="shared" si="10"/>
        <v>0</v>
      </c>
      <c r="AG33" t="b">
        <f t="shared" si="11"/>
        <v>0</v>
      </c>
      <c r="AH33" t="b">
        <f t="shared" si="12"/>
        <v>0</v>
      </c>
    </row>
    <row r="34" spans="1:34" x14ac:dyDescent="0.2">
      <c r="A34" t="s">
        <v>143</v>
      </c>
      <c r="B34" t="s">
        <v>139</v>
      </c>
      <c r="C34" t="s">
        <v>139</v>
      </c>
      <c r="D34">
        <v>1</v>
      </c>
      <c r="E34">
        <v>0</v>
      </c>
      <c r="F34">
        <v>2</v>
      </c>
      <c r="G34">
        <v>2</v>
      </c>
      <c r="H34">
        <v>2</v>
      </c>
      <c r="I34">
        <v>1</v>
      </c>
      <c r="J34">
        <v>2</v>
      </c>
      <c r="K34">
        <v>0</v>
      </c>
      <c r="L34">
        <v>1</v>
      </c>
      <c r="M34">
        <v>2</v>
      </c>
      <c r="O34">
        <v>2</v>
      </c>
      <c r="P34">
        <v>1</v>
      </c>
      <c r="Q34">
        <v>6</v>
      </c>
      <c r="R34">
        <v>4</v>
      </c>
      <c r="S34">
        <v>2</v>
      </c>
      <c r="T34">
        <v>1</v>
      </c>
      <c r="V34" t="b">
        <f t="shared" si="0"/>
        <v>1</v>
      </c>
      <c r="W34" t="b">
        <f t="shared" si="1"/>
        <v>1</v>
      </c>
      <c r="X34" t="b">
        <f t="shared" si="2"/>
        <v>1</v>
      </c>
      <c r="Y34" t="b">
        <f t="shared" si="3"/>
        <v>1</v>
      </c>
      <c r="Z34" t="b">
        <f t="shared" si="4"/>
        <v>1</v>
      </c>
      <c r="AA34" t="b">
        <f t="shared" si="5"/>
        <v>1</v>
      </c>
      <c r="AB34" t="b">
        <f t="shared" si="6"/>
        <v>0</v>
      </c>
      <c r="AC34" t="b">
        <f t="shared" si="7"/>
        <v>0</v>
      </c>
      <c r="AD34" t="b">
        <f t="shared" si="8"/>
        <v>0</v>
      </c>
      <c r="AE34" t="b">
        <f t="shared" si="9"/>
        <v>0</v>
      </c>
      <c r="AF34" t="b">
        <f t="shared" si="10"/>
        <v>0</v>
      </c>
      <c r="AG34" t="b">
        <f t="shared" si="11"/>
        <v>0</v>
      </c>
      <c r="AH34" t="b">
        <f t="shared" si="12"/>
        <v>0</v>
      </c>
    </row>
    <row r="35" spans="1:34" x14ac:dyDescent="0.2">
      <c r="A35" t="s">
        <v>140</v>
      </c>
      <c r="B35" t="s">
        <v>139</v>
      </c>
      <c r="C35" t="s">
        <v>139</v>
      </c>
      <c r="D35">
        <v>1</v>
      </c>
      <c r="E35">
        <v>1</v>
      </c>
      <c r="F35">
        <v>1</v>
      </c>
      <c r="G35">
        <v>2</v>
      </c>
      <c r="H35">
        <v>0</v>
      </c>
      <c r="I35">
        <v>1</v>
      </c>
      <c r="J35">
        <v>1</v>
      </c>
      <c r="K35">
        <v>1</v>
      </c>
      <c r="L35">
        <v>1</v>
      </c>
      <c r="M35">
        <v>2</v>
      </c>
      <c r="N35">
        <v>0</v>
      </c>
      <c r="O35">
        <v>2</v>
      </c>
      <c r="P35">
        <v>1</v>
      </c>
      <c r="Q35">
        <v>3</v>
      </c>
      <c r="R35">
        <v>8</v>
      </c>
      <c r="S35">
        <v>2</v>
      </c>
      <c r="T35">
        <v>0</v>
      </c>
      <c r="V35" t="b">
        <f t="shared" si="0"/>
        <v>1</v>
      </c>
      <c r="W35" t="b">
        <f t="shared" si="1"/>
        <v>1</v>
      </c>
      <c r="X35" t="b">
        <f t="shared" si="2"/>
        <v>1</v>
      </c>
      <c r="Y35" t="b">
        <f t="shared" si="3"/>
        <v>0</v>
      </c>
      <c r="Z35" t="b">
        <f t="shared" si="4"/>
        <v>0</v>
      </c>
      <c r="AA35" t="b">
        <f t="shared" si="5"/>
        <v>0</v>
      </c>
      <c r="AB35" t="b">
        <f t="shared" si="6"/>
        <v>0</v>
      </c>
      <c r="AC35" t="b">
        <f t="shared" si="7"/>
        <v>0</v>
      </c>
      <c r="AD35" t="b">
        <f t="shared" si="8"/>
        <v>0</v>
      </c>
      <c r="AE35" t="b">
        <f t="shared" si="9"/>
        <v>0</v>
      </c>
      <c r="AF35" t="b">
        <f t="shared" si="10"/>
        <v>0</v>
      </c>
      <c r="AG35" t="b">
        <f t="shared" si="11"/>
        <v>0</v>
      </c>
      <c r="AH35" t="b">
        <f t="shared" si="12"/>
        <v>0</v>
      </c>
    </row>
    <row r="36" spans="1:34" x14ac:dyDescent="0.2">
      <c r="A36" t="s">
        <v>142</v>
      </c>
      <c r="B36" t="s">
        <v>139</v>
      </c>
      <c r="C36" t="s">
        <v>139</v>
      </c>
      <c r="D36">
        <v>1</v>
      </c>
      <c r="E36">
        <v>1</v>
      </c>
      <c r="F36">
        <v>2</v>
      </c>
      <c r="G36">
        <v>2</v>
      </c>
      <c r="H36">
        <v>2</v>
      </c>
      <c r="I36">
        <v>2</v>
      </c>
      <c r="J36">
        <v>2</v>
      </c>
      <c r="K36">
        <v>1</v>
      </c>
      <c r="L36">
        <v>1</v>
      </c>
      <c r="M36">
        <v>2</v>
      </c>
      <c r="N36">
        <v>0</v>
      </c>
      <c r="O36">
        <v>2</v>
      </c>
      <c r="P36">
        <v>1</v>
      </c>
      <c r="Q36">
        <v>7</v>
      </c>
      <c r="R36">
        <v>5</v>
      </c>
      <c r="S36">
        <v>1</v>
      </c>
      <c r="T36">
        <v>0</v>
      </c>
      <c r="V36" t="b">
        <f t="shared" si="0"/>
        <v>1</v>
      </c>
      <c r="W36" t="b">
        <f t="shared" si="1"/>
        <v>1</v>
      </c>
      <c r="X36" t="b">
        <f t="shared" si="2"/>
        <v>1</v>
      </c>
      <c r="Y36" t="b">
        <f t="shared" si="3"/>
        <v>1</v>
      </c>
      <c r="Z36" t="b">
        <f t="shared" si="4"/>
        <v>1</v>
      </c>
      <c r="AA36" t="b">
        <f t="shared" si="5"/>
        <v>1</v>
      </c>
      <c r="AB36" t="b">
        <f t="shared" si="6"/>
        <v>1</v>
      </c>
      <c r="AC36" t="b">
        <f t="shared" si="7"/>
        <v>0</v>
      </c>
      <c r="AD36" t="b">
        <f t="shared" si="8"/>
        <v>0</v>
      </c>
      <c r="AE36" t="b">
        <f t="shared" si="9"/>
        <v>0</v>
      </c>
      <c r="AF36" t="b">
        <f t="shared" si="10"/>
        <v>0</v>
      </c>
      <c r="AG36" t="b">
        <f t="shared" si="11"/>
        <v>0</v>
      </c>
      <c r="AH36" t="b">
        <f t="shared" si="12"/>
        <v>0</v>
      </c>
    </row>
    <row r="37" spans="1:34" x14ac:dyDescent="0.2">
      <c r="A37" t="s">
        <v>141</v>
      </c>
      <c r="B37" t="s">
        <v>139</v>
      </c>
      <c r="C37" t="s">
        <v>139</v>
      </c>
      <c r="D37">
        <v>1</v>
      </c>
      <c r="E37">
        <v>2</v>
      </c>
      <c r="F37">
        <v>2</v>
      </c>
      <c r="G37">
        <v>2</v>
      </c>
      <c r="H37">
        <v>1</v>
      </c>
      <c r="I37">
        <v>1</v>
      </c>
      <c r="J37">
        <v>1</v>
      </c>
      <c r="K37">
        <v>2</v>
      </c>
      <c r="L37">
        <v>1</v>
      </c>
      <c r="M37">
        <v>2</v>
      </c>
      <c r="O37">
        <v>2</v>
      </c>
      <c r="P37">
        <v>1</v>
      </c>
      <c r="Q37">
        <v>6</v>
      </c>
      <c r="R37">
        <v>6</v>
      </c>
      <c r="S37">
        <v>0</v>
      </c>
      <c r="T37">
        <v>1</v>
      </c>
      <c r="V37" t="b">
        <f t="shared" si="0"/>
        <v>1</v>
      </c>
      <c r="W37" t="b">
        <f t="shared" si="1"/>
        <v>1</v>
      </c>
      <c r="X37" t="b">
        <f t="shared" si="2"/>
        <v>1</v>
      </c>
      <c r="Y37" t="b">
        <f t="shared" si="3"/>
        <v>1</v>
      </c>
      <c r="Z37" t="b">
        <f t="shared" si="4"/>
        <v>1</v>
      </c>
      <c r="AA37" t="b">
        <f t="shared" si="5"/>
        <v>1</v>
      </c>
      <c r="AB37" t="b">
        <f t="shared" si="6"/>
        <v>0</v>
      </c>
      <c r="AC37" t="b">
        <f t="shared" si="7"/>
        <v>0</v>
      </c>
      <c r="AD37" t="b">
        <f t="shared" si="8"/>
        <v>0</v>
      </c>
      <c r="AE37" t="b">
        <f t="shared" si="9"/>
        <v>0</v>
      </c>
      <c r="AF37" t="b">
        <f t="shared" si="10"/>
        <v>0</v>
      </c>
      <c r="AG37" t="b">
        <f t="shared" si="11"/>
        <v>0</v>
      </c>
      <c r="AH37" t="b">
        <f t="shared" si="12"/>
        <v>0</v>
      </c>
    </row>
    <row r="38" spans="1:34" x14ac:dyDescent="0.2">
      <c r="A38" t="s">
        <v>144</v>
      </c>
      <c r="B38" t="s">
        <v>139</v>
      </c>
      <c r="C38" t="s">
        <v>139</v>
      </c>
      <c r="D38">
        <v>0</v>
      </c>
      <c r="E38">
        <v>1</v>
      </c>
      <c r="F38">
        <v>2</v>
      </c>
      <c r="G38">
        <v>1</v>
      </c>
      <c r="H38">
        <v>0</v>
      </c>
      <c r="I38">
        <v>1</v>
      </c>
      <c r="J38">
        <v>1</v>
      </c>
      <c r="K38">
        <v>0</v>
      </c>
      <c r="L38">
        <v>1</v>
      </c>
      <c r="M38">
        <v>0</v>
      </c>
      <c r="O38">
        <v>2</v>
      </c>
      <c r="P38">
        <v>0</v>
      </c>
      <c r="Q38">
        <v>2</v>
      </c>
      <c r="R38">
        <v>5</v>
      </c>
      <c r="S38">
        <v>5</v>
      </c>
      <c r="T38">
        <v>1</v>
      </c>
      <c r="V38" t="b">
        <f t="shared" si="0"/>
        <v>1</v>
      </c>
      <c r="W38" t="b">
        <f t="shared" si="1"/>
        <v>1</v>
      </c>
      <c r="X38" t="b">
        <f t="shared" si="2"/>
        <v>0</v>
      </c>
      <c r="Y38" t="b">
        <f t="shared" si="3"/>
        <v>0</v>
      </c>
      <c r="Z38" t="b">
        <f t="shared" si="4"/>
        <v>0</v>
      </c>
      <c r="AA38" t="b">
        <f t="shared" si="5"/>
        <v>0</v>
      </c>
      <c r="AB38" t="b">
        <f t="shared" si="6"/>
        <v>0</v>
      </c>
      <c r="AC38" t="b">
        <f t="shared" si="7"/>
        <v>0</v>
      </c>
      <c r="AD38" t="b">
        <f t="shared" si="8"/>
        <v>0</v>
      </c>
      <c r="AE38" t="b">
        <f t="shared" si="9"/>
        <v>0</v>
      </c>
      <c r="AF38" t="b">
        <f t="shared" si="10"/>
        <v>0</v>
      </c>
      <c r="AG38" t="b">
        <f t="shared" si="11"/>
        <v>0</v>
      </c>
      <c r="AH38" t="b">
        <f t="shared" si="12"/>
        <v>0</v>
      </c>
    </row>
    <row r="39" spans="1:34" x14ac:dyDescent="0.2">
      <c r="A39" t="s">
        <v>138</v>
      </c>
      <c r="B39" t="s">
        <v>139</v>
      </c>
      <c r="C39" t="s">
        <v>139</v>
      </c>
      <c r="D39">
        <v>1</v>
      </c>
      <c r="E39">
        <v>2</v>
      </c>
      <c r="F39">
        <v>2</v>
      </c>
      <c r="G39">
        <v>2</v>
      </c>
      <c r="H39">
        <v>2</v>
      </c>
      <c r="I39">
        <v>2</v>
      </c>
      <c r="J39">
        <v>1</v>
      </c>
      <c r="K39">
        <v>2</v>
      </c>
      <c r="L39">
        <v>1</v>
      </c>
      <c r="M39">
        <v>2</v>
      </c>
      <c r="N39">
        <v>0</v>
      </c>
      <c r="O39">
        <v>2</v>
      </c>
      <c r="P39">
        <v>1</v>
      </c>
      <c r="Q39">
        <v>8</v>
      </c>
      <c r="R39">
        <v>4</v>
      </c>
      <c r="S39">
        <v>1</v>
      </c>
      <c r="T39">
        <v>0</v>
      </c>
      <c r="V39" t="b">
        <f t="shared" si="0"/>
        <v>1</v>
      </c>
      <c r="W39" t="b">
        <f t="shared" si="1"/>
        <v>1</v>
      </c>
      <c r="X39" t="b">
        <f t="shared" si="2"/>
        <v>1</v>
      </c>
      <c r="Y39" t="b">
        <f t="shared" si="3"/>
        <v>1</v>
      </c>
      <c r="Z39" t="b">
        <f t="shared" si="4"/>
        <v>1</v>
      </c>
      <c r="AA39" t="b">
        <f t="shared" si="5"/>
        <v>1</v>
      </c>
      <c r="AB39" t="b">
        <f t="shared" si="6"/>
        <v>1</v>
      </c>
      <c r="AC39" t="b">
        <f t="shared" si="7"/>
        <v>1</v>
      </c>
      <c r="AD39" t="b">
        <f t="shared" si="8"/>
        <v>0</v>
      </c>
      <c r="AE39" t="b">
        <f t="shared" si="9"/>
        <v>0</v>
      </c>
      <c r="AF39" t="b">
        <f t="shared" si="10"/>
        <v>0</v>
      </c>
      <c r="AG39" t="b">
        <f t="shared" si="11"/>
        <v>0</v>
      </c>
      <c r="AH39" t="b">
        <f t="shared" si="12"/>
        <v>0</v>
      </c>
    </row>
    <row r="40" spans="1:34" x14ac:dyDescent="0.2">
      <c r="A40" t="s">
        <v>125</v>
      </c>
      <c r="B40" t="s">
        <v>139</v>
      </c>
      <c r="C40" t="s">
        <v>139</v>
      </c>
      <c r="D40">
        <v>1</v>
      </c>
      <c r="E40">
        <v>0</v>
      </c>
      <c r="F40">
        <v>2</v>
      </c>
      <c r="G40">
        <v>2</v>
      </c>
      <c r="H40">
        <v>1</v>
      </c>
      <c r="I40">
        <v>1</v>
      </c>
      <c r="J40">
        <v>2</v>
      </c>
      <c r="K40">
        <v>0</v>
      </c>
      <c r="L40">
        <v>1</v>
      </c>
      <c r="M40">
        <v>2</v>
      </c>
      <c r="O40">
        <v>2</v>
      </c>
      <c r="P40">
        <v>1</v>
      </c>
      <c r="Q40">
        <v>5</v>
      </c>
      <c r="R40">
        <v>5</v>
      </c>
      <c r="S40">
        <v>2</v>
      </c>
      <c r="T40">
        <v>1</v>
      </c>
      <c r="V40" t="b">
        <f t="shared" si="0"/>
        <v>1</v>
      </c>
      <c r="W40" t="b">
        <f t="shared" si="1"/>
        <v>1</v>
      </c>
      <c r="X40" t="b">
        <f t="shared" si="2"/>
        <v>1</v>
      </c>
      <c r="Y40" t="b">
        <f t="shared" si="3"/>
        <v>1</v>
      </c>
      <c r="Z40" t="b">
        <f t="shared" si="4"/>
        <v>1</v>
      </c>
      <c r="AA40" t="b">
        <f t="shared" si="5"/>
        <v>0</v>
      </c>
      <c r="AB40" t="b">
        <f t="shared" si="6"/>
        <v>0</v>
      </c>
      <c r="AC40" t="b">
        <f t="shared" si="7"/>
        <v>0</v>
      </c>
      <c r="AD40" t="b">
        <f t="shared" si="8"/>
        <v>0</v>
      </c>
      <c r="AE40" t="b">
        <f t="shared" si="9"/>
        <v>0</v>
      </c>
      <c r="AF40" t="b">
        <f t="shared" si="10"/>
        <v>0</v>
      </c>
      <c r="AG40" t="b">
        <f t="shared" si="11"/>
        <v>0</v>
      </c>
      <c r="AH40" t="b">
        <f t="shared" si="12"/>
        <v>0</v>
      </c>
    </row>
    <row r="41" spans="1:34" x14ac:dyDescent="0.2">
      <c r="A41" t="s">
        <v>145</v>
      </c>
      <c r="B41" t="s">
        <v>139</v>
      </c>
      <c r="C41" t="s">
        <v>139</v>
      </c>
      <c r="D41">
        <v>0</v>
      </c>
      <c r="E41">
        <v>0</v>
      </c>
      <c r="F41">
        <v>0</v>
      </c>
      <c r="G41">
        <v>0</v>
      </c>
      <c r="H41">
        <v>0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12</v>
      </c>
      <c r="T41">
        <v>0</v>
      </c>
      <c r="V41" t="b">
        <f t="shared" si="0"/>
        <v>0</v>
      </c>
      <c r="W41" t="b">
        <f t="shared" si="1"/>
        <v>0</v>
      </c>
      <c r="X41" t="b">
        <f t="shared" si="2"/>
        <v>0</v>
      </c>
      <c r="Y41" t="b">
        <f t="shared" si="3"/>
        <v>0</v>
      </c>
      <c r="Z41" t="b">
        <f t="shared" si="4"/>
        <v>0</v>
      </c>
      <c r="AA41" t="b">
        <f t="shared" si="5"/>
        <v>0</v>
      </c>
      <c r="AB41" t="b">
        <f t="shared" si="6"/>
        <v>0</v>
      </c>
      <c r="AC41" t="b">
        <f t="shared" si="7"/>
        <v>0</v>
      </c>
      <c r="AD41" t="b">
        <f t="shared" si="8"/>
        <v>0</v>
      </c>
      <c r="AE41" t="b">
        <f t="shared" si="9"/>
        <v>0</v>
      </c>
      <c r="AF41" t="b">
        <f t="shared" si="10"/>
        <v>0</v>
      </c>
      <c r="AG41" t="b">
        <f t="shared" si="11"/>
        <v>0</v>
      </c>
      <c r="AH41" t="b">
        <f t="shared" si="12"/>
        <v>0</v>
      </c>
    </row>
    <row r="42" spans="1:34" x14ac:dyDescent="0.2">
      <c r="A42" t="s">
        <v>56</v>
      </c>
      <c r="B42" t="s">
        <v>346</v>
      </c>
      <c r="C42" t="s">
        <v>346</v>
      </c>
      <c r="D42">
        <v>0</v>
      </c>
      <c r="E42">
        <v>2</v>
      </c>
      <c r="F42">
        <v>2</v>
      </c>
      <c r="G42">
        <v>2</v>
      </c>
      <c r="H42">
        <v>0</v>
      </c>
      <c r="I42">
        <v>0</v>
      </c>
      <c r="J42">
        <v>2</v>
      </c>
      <c r="K42">
        <v>0</v>
      </c>
      <c r="L42">
        <v>1</v>
      </c>
      <c r="M42">
        <v>1</v>
      </c>
      <c r="N42">
        <v>0</v>
      </c>
      <c r="O42">
        <v>2</v>
      </c>
      <c r="P42">
        <v>1</v>
      </c>
      <c r="Q42">
        <v>5</v>
      </c>
      <c r="R42">
        <v>3</v>
      </c>
      <c r="S42">
        <v>5</v>
      </c>
      <c r="T42">
        <v>0</v>
      </c>
      <c r="V42" t="b">
        <f t="shared" si="0"/>
        <v>1</v>
      </c>
      <c r="W42" t="b">
        <f t="shared" si="1"/>
        <v>1</v>
      </c>
      <c r="X42" t="b">
        <f t="shared" si="2"/>
        <v>1</v>
      </c>
      <c r="Y42" t="b">
        <f t="shared" si="3"/>
        <v>1</v>
      </c>
      <c r="Z42" t="b">
        <f t="shared" si="4"/>
        <v>1</v>
      </c>
      <c r="AA42" t="b">
        <f t="shared" si="5"/>
        <v>0</v>
      </c>
      <c r="AB42" t="b">
        <f t="shared" si="6"/>
        <v>0</v>
      </c>
      <c r="AC42" t="b">
        <f t="shared" si="7"/>
        <v>0</v>
      </c>
      <c r="AD42" t="b">
        <f t="shared" si="8"/>
        <v>0</v>
      </c>
      <c r="AE42" t="b">
        <f t="shared" si="9"/>
        <v>0</v>
      </c>
      <c r="AF42" t="b">
        <f t="shared" si="10"/>
        <v>0</v>
      </c>
      <c r="AG42" t="b">
        <f t="shared" si="11"/>
        <v>0</v>
      </c>
      <c r="AH42" t="b">
        <f t="shared" si="12"/>
        <v>0</v>
      </c>
    </row>
    <row r="43" spans="1:34" x14ac:dyDescent="0.2">
      <c r="A43" t="s">
        <v>211</v>
      </c>
      <c r="B43" t="s">
        <v>346</v>
      </c>
      <c r="C43" t="s">
        <v>346</v>
      </c>
      <c r="D43">
        <v>0</v>
      </c>
      <c r="E43">
        <v>0</v>
      </c>
      <c r="F43">
        <v>2</v>
      </c>
      <c r="G43">
        <v>2</v>
      </c>
      <c r="H43">
        <v>0</v>
      </c>
      <c r="I43">
        <v>0</v>
      </c>
      <c r="J43">
        <v>2</v>
      </c>
      <c r="K43">
        <v>0</v>
      </c>
      <c r="L43">
        <v>1</v>
      </c>
      <c r="M43">
        <v>0</v>
      </c>
      <c r="N43">
        <v>0</v>
      </c>
      <c r="O43">
        <v>2</v>
      </c>
      <c r="P43">
        <v>0</v>
      </c>
      <c r="Q43">
        <v>4</v>
      </c>
      <c r="R43">
        <v>1</v>
      </c>
      <c r="S43">
        <v>8</v>
      </c>
      <c r="T43">
        <v>0</v>
      </c>
      <c r="V43" t="b">
        <f t="shared" si="0"/>
        <v>1</v>
      </c>
      <c r="W43" t="b">
        <f t="shared" si="1"/>
        <v>1</v>
      </c>
      <c r="X43" t="b">
        <f t="shared" si="2"/>
        <v>1</v>
      </c>
      <c r="Y43" t="b">
        <f t="shared" si="3"/>
        <v>1</v>
      </c>
      <c r="Z43" t="b">
        <f t="shared" si="4"/>
        <v>0</v>
      </c>
      <c r="AA43" t="b">
        <f t="shared" si="5"/>
        <v>0</v>
      </c>
      <c r="AB43" t="b">
        <f t="shared" si="6"/>
        <v>0</v>
      </c>
      <c r="AC43" t="b">
        <f t="shared" si="7"/>
        <v>0</v>
      </c>
      <c r="AD43" t="b">
        <f t="shared" si="8"/>
        <v>0</v>
      </c>
      <c r="AE43" t="b">
        <f t="shared" si="9"/>
        <v>0</v>
      </c>
      <c r="AF43" t="b">
        <f t="shared" si="10"/>
        <v>0</v>
      </c>
      <c r="AG43" t="b">
        <f t="shared" si="11"/>
        <v>0</v>
      </c>
      <c r="AH43" t="b">
        <f t="shared" si="12"/>
        <v>0</v>
      </c>
    </row>
    <row r="44" spans="1:34" x14ac:dyDescent="0.2">
      <c r="A44" t="s">
        <v>142</v>
      </c>
      <c r="B44" t="s">
        <v>69</v>
      </c>
      <c r="C44" t="s">
        <v>69</v>
      </c>
      <c r="D44">
        <v>1</v>
      </c>
      <c r="E44">
        <v>0</v>
      </c>
      <c r="F44">
        <v>2</v>
      </c>
      <c r="G44">
        <v>2</v>
      </c>
      <c r="H44">
        <v>0</v>
      </c>
      <c r="I44">
        <v>0</v>
      </c>
      <c r="J44">
        <v>1</v>
      </c>
      <c r="K44">
        <v>1</v>
      </c>
      <c r="L44">
        <v>1</v>
      </c>
      <c r="M44">
        <v>2</v>
      </c>
      <c r="N44">
        <v>1</v>
      </c>
      <c r="O44">
        <v>2</v>
      </c>
      <c r="P44">
        <v>0</v>
      </c>
      <c r="Q44">
        <v>4</v>
      </c>
      <c r="R44">
        <v>5</v>
      </c>
      <c r="S44">
        <v>4</v>
      </c>
      <c r="T44">
        <v>0</v>
      </c>
      <c r="V44" t="b">
        <f t="shared" si="0"/>
        <v>1</v>
      </c>
      <c r="W44" t="b">
        <f t="shared" si="1"/>
        <v>1</v>
      </c>
      <c r="X44" t="b">
        <f t="shared" si="2"/>
        <v>1</v>
      </c>
      <c r="Y44" t="b">
        <f t="shared" si="3"/>
        <v>1</v>
      </c>
      <c r="Z44" t="b">
        <f t="shared" si="4"/>
        <v>0</v>
      </c>
      <c r="AA44" t="b">
        <f t="shared" si="5"/>
        <v>0</v>
      </c>
      <c r="AB44" t="b">
        <f t="shared" si="6"/>
        <v>0</v>
      </c>
      <c r="AC44" t="b">
        <f t="shared" si="7"/>
        <v>0</v>
      </c>
      <c r="AD44" t="b">
        <f t="shared" si="8"/>
        <v>0</v>
      </c>
      <c r="AE44" t="b">
        <f t="shared" si="9"/>
        <v>0</v>
      </c>
      <c r="AF44" t="b">
        <f t="shared" si="10"/>
        <v>0</v>
      </c>
      <c r="AG44" t="b">
        <f t="shared" si="11"/>
        <v>0</v>
      </c>
      <c r="AH44" t="b">
        <f t="shared" si="12"/>
        <v>0</v>
      </c>
    </row>
    <row r="45" spans="1:34" x14ac:dyDescent="0.2">
      <c r="A45" t="s">
        <v>140</v>
      </c>
      <c r="B45" t="s">
        <v>69</v>
      </c>
      <c r="C45" t="s">
        <v>69</v>
      </c>
      <c r="D45">
        <v>0</v>
      </c>
      <c r="E45">
        <v>0</v>
      </c>
      <c r="F45">
        <v>1</v>
      </c>
      <c r="G45">
        <v>2</v>
      </c>
      <c r="H45">
        <v>0</v>
      </c>
      <c r="I45">
        <v>1</v>
      </c>
      <c r="J45">
        <v>1</v>
      </c>
      <c r="K45">
        <v>0</v>
      </c>
      <c r="L45">
        <v>1</v>
      </c>
      <c r="M45">
        <v>1</v>
      </c>
      <c r="O45">
        <v>2</v>
      </c>
      <c r="P45">
        <v>0</v>
      </c>
      <c r="Q45">
        <v>2</v>
      </c>
      <c r="R45">
        <v>5</v>
      </c>
      <c r="S45">
        <v>5</v>
      </c>
      <c r="T45">
        <v>1</v>
      </c>
      <c r="V45" t="b">
        <f t="shared" si="0"/>
        <v>1</v>
      </c>
      <c r="W45" t="b">
        <f t="shared" si="1"/>
        <v>1</v>
      </c>
      <c r="X45" t="b">
        <f t="shared" si="2"/>
        <v>0</v>
      </c>
      <c r="Y45" t="b">
        <f t="shared" si="3"/>
        <v>0</v>
      </c>
      <c r="Z45" t="b">
        <f t="shared" si="4"/>
        <v>0</v>
      </c>
      <c r="AA45" t="b">
        <f t="shared" si="5"/>
        <v>0</v>
      </c>
      <c r="AB45" t="b">
        <f t="shared" si="6"/>
        <v>0</v>
      </c>
      <c r="AC45" t="b">
        <f t="shared" si="7"/>
        <v>0</v>
      </c>
      <c r="AD45" t="b">
        <f t="shared" si="8"/>
        <v>0</v>
      </c>
      <c r="AE45" t="b">
        <f t="shared" si="9"/>
        <v>0</v>
      </c>
      <c r="AF45" t="b">
        <f t="shared" si="10"/>
        <v>0</v>
      </c>
      <c r="AG45" t="b">
        <f t="shared" si="11"/>
        <v>0</v>
      </c>
      <c r="AH45" t="b">
        <f t="shared" si="12"/>
        <v>0</v>
      </c>
    </row>
    <row r="46" spans="1:34" x14ac:dyDescent="0.2">
      <c r="A46" t="s">
        <v>125</v>
      </c>
      <c r="B46" t="s">
        <v>69</v>
      </c>
      <c r="C46" t="s">
        <v>69</v>
      </c>
      <c r="D46">
        <v>2</v>
      </c>
      <c r="E46">
        <v>0</v>
      </c>
      <c r="F46">
        <v>2</v>
      </c>
      <c r="G46">
        <v>2</v>
      </c>
      <c r="H46">
        <v>0</v>
      </c>
      <c r="I46">
        <v>1</v>
      </c>
      <c r="J46">
        <v>2</v>
      </c>
      <c r="K46">
        <v>1</v>
      </c>
      <c r="L46">
        <v>1</v>
      </c>
      <c r="M46">
        <v>2</v>
      </c>
      <c r="N46">
        <v>1</v>
      </c>
      <c r="O46">
        <v>2</v>
      </c>
      <c r="P46">
        <v>1</v>
      </c>
      <c r="Q46">
        <v>6</v>
      </c>
      <c r="R46">
        <v>5</v>
      </c>
      <c r="S46">
        <v>2</v>
      </c>
      <c r="T46">
        <v>0</v>
      </c>
      <c r="V46" t="b">
        <f t="shared" si="0"/>
        <v>1</v>
      </c>
      <c r="W46" t="b">
        <f t="shared" si="1"/>
        <v>1</v>
      </c>
      <c r="X46" t="b">
        <f t="shared" si="2"/>
        <v>1</v>
      </c>
      <c r="Y46" t="b">
        <f t="shared" si="3"/>
        <v>1</v>
      </c>
      <c r="Z46" t="b">
        <f t="shared" si="4"/>
        <v>1</v>
      </c>
      <c r="AA46" t="b">
        <f t="shared" si="5"/>
        <v>1</v>
      </c>
      <c r="AB46" t="b">
        <f t="shared" si="6"/>
        <v>0</v>
      </c>
      <c r="AC46" t="b">
        <f t="shared" si="7"/>
        <v>0</v>
      </c>
      <c r="AD46" t="b">
        <f t="shared" si="8"/>
        <v>0</v>
      </c>
      <c r="AE46" t="b">
        <f t="shared" si="9"/>
        <v>0</v>
      </c>
      <c r="AF46" t="b">
        <f t="shared" si="10"/>
        <v>0</v>
      </c>
      <c r="AG46" t="b">
        <f t="shared" si="11"/>
        <v>0</v>
      </c>
      <c r="AH46" t="b">
        <f t="shared" si="12"/>
        <v>0</v>
      </c>
    </row>
    <row r="47" spans="1:34" x14ac:dyDescent="0.2">
      <c r="A47" t="s">
        <v>149</v>
      </c>
      <c r="B47" t="s">
        <v>69</v>
      </c>
      <c r="C47" t="s">
        <v>69</v>
      </c>
      <c r="D47">
        <v>1</v>
      </c>
      <c r="E47">
        <v>2</v>
      </c>
      <c r="F47">
        <v>2</v>
      </c>
      <c r="G47">
        <v>1</v>
      </c>
      <c r="H47">
        <v>0</v>
      </c>
      <c r="I47">
        <v>2</v>
      </c>
      <c r="J47">
        <v>2</v>
      </c>
      <c r="K47">
        <v>0</v>
      </c>
      <c r="L47">
        <v>2</v>
      </c>
      <c r="M47">
        <v>1</v>
      </c>
      <c r="N47">
        <v>1</v>
      </c>
      <c r="O47">
        <v>2</v>
      </c>
      <c r="P47">
        <v>0</v>
      </c>
      <c r="Q47">
        <v>6</v>
      </c>
      <c r="R47">
        <v>4</v>
      </c>
      <c r="S47">
        <v>3</v>
      </c>
      <c r="T47">
        <v>0</v>
      </c>
      <c r="V47" t="b">
        <f t="shared" si="0"/>
        <v>1</v>
      </c>
      <c r="W47" t="b">
        <f t="shared" si="1"/>
        <v>1</v>
      </c>
      <c r="X47" t="b">
        <f t="shared" si="2"/>
        <v>1</v>
      </c>
      <c r="Y47" t="b">
        <f t="shared" si="3"/>
        <v>1</v>
      </c>
      <c r="Z47" t="b">
        <f t="shared" si="4"/>
        <v>1</v>
      </c>
      <c r="AA47" t="b">
        <f t="shared" si="5"/>
        <v>1</v>
      </c>
      <c r="AB47" t="b">
        <f t="shared" si="6"/>
        <v>0</v>
      </c>
      <c r="AC47" t="b">
        <f t="shared" si="7"/>
        <v>0</v>
      </c>
      <c r="AD47" t="b">
        <f t="shared" si="8"/>
        <v>0</v>
      </c>
      <c r="AE47" t="b">
        <f t="shared" si="9"/>
        <v>0</v>
      </c>
      <c r="AF47" t="b">
        <f t="shared" si="10"/>
        <v>0</v>
      </c>
      <c r="AG47" t="b">
        <f t="shared" si="11"/>
        <v>0</v>
      </c>
      <c r="AH47" t="b">
        <f t="shared" si="12"/>
        <v>0</v>
      </c>
    </row>
    <row r="48" spans="1:34" x14ac:dyDescent="0.2">
      <c r="A48" t="s">
        <v>148</v>
      </c>
      <c r="B48" t="s">
        <v>69</v>
      </c>
      <c r="C48" t="s">
        <v>69</v>
      </c>
      <c r="D48">
        <v>1</v>
      </c>
      <c r="E48">
        <v>2</v>
      </c>
      <c r="F48">
        <v>2</v>
      </c>
      <c r="G48">
        <v>2</v>
      </c>
      <c r="H48">
        <v>2</v>
      </c>
      <c r="I48">
        <v>0</v>
      </c>
      <c r="J48">
        <v>2</v>
      </c>
      <c r="K48">
        <v>2</v>
      </c>
      <c r="L48">
        <v>1</v>
      </c>
      <c r="M48">
        <v>2</v>
      </c>
      <c r="N48">
        <v>1</v>
      </c>
      <c r="O48">
        <v>2</v>
      </c>
      <c r="P48">
        <v>2</v>
      </c>
      <c r="Q48">
        <v>9</v>
      </c>
      <c r="R48">
        <v>3</v>
      </c>
      <c r="S48">
        <v>1</v>
      </c>
      <c r="T48">
        <v>0</v>
      </c>
      <c r="V48" t="b">
        <f t="shared" si="0"/>
        <v>1</v>
      </c>
      <c r="W48" t="b">
        <f t="shared" si="1"/>
        <v>1</v>
      </c>
      <c r="X48" t="b">
        <f t="shared" si="2"/>
        <v>1</v>
      </c>
      <c r="Y48" t="b">
        <f t="shared" si="3"/>
        <v>1</v>
      </c>
      <c r="Z48" t="b">
        <f t="shared" si="4"/>
        <v>1</v>
      </c>
      <c r="AA48" t="b">
        <f t="shared" si="5"/>
        <v>1</v>
      </c>
      <c r="AB48" t="b">
        <f t="shared" si="6"/>
        <v>1</v>
      </c>
      <c r="AC48" t="b">
        <f t="shared" si="7"/>
        <v>1</v>
      </c>
      <c r="AD48" t="b">
        <f t="shared" si="8"/>
        <v>1</v>
      </c>
      <c r="AE48" t="b">
        <f t="shared" si="9"/>
        <v>0</v>
      </c>
      <c r="AF48" t="b">
        <f t="shared" si="10"/>
        <v>0</v>
      </c>
      <c r="AG48" t="b">
        <f t="shared" si="11"/>
        <v>0</v>
      </c>
      <c r="AH48" t="b">
        <f t="shared" si="12"/>
        <v>0</v>
      </c>
    </row>
    <row r="49" spans="1:34" x14ac:dyDescent="0.2">
      <c r="A49" t="s">
        <v>325</v>
      </c>
      <c r="B49" t="s">
        <v>71</v>
      </c>
      <c r="C49" t="s">
        <v>71</v>
      </c>
      <c r="D49">
        <v>1</v>
      </c>
      <c r="E49">
        <v>1</v>
      </c>
      <c r="F49">
        <v>2</v>
      </c>
      <c r="G49">
        <v>2</v>
      </c>
      <c r="H49">
        <v>2</v>
      </c>
      <c r="I49">
        <v>1</v>
      </c>
      <c r="J49">
        <v>2</v>
      </c>
      <c r="K49">
        <v>1</v>
      </c>
      <c r="L49">
        <v>1</v>
      </c>
      <c r="M49">
        <v>2</v>
      </c>
      <c r="N49">
        <v>1</v>
      </c>
      <c r="O49">
        <v>2</v>
      </c>
      <c r="P49">
        <v>1</v>
      </c>
      <c r="Q49">
        <v>6</v>
      </c>
      <c r="R49">
        <v>7</v>
      </c>
      <c r="S49">
        <v>0</v>
      </c>
      <c r="T49">
        <v>0</v>
      </c>
      <c r="V49" t="b">
        <f t="shared" si="0"/>
        <v>1</v>
      </c>
      <c r="W49" t="b">
        <f t="shared" si="1"/>
        <v>1</v>
      </c>
      <c r="X49" t="b">
        <f t="shared" si="2"/>
        <v>1</v>
      </c>
      <c r="Y49" t="b">
        <f t="shared" si="3"/>
        <v>1</v>
      </c>
      <c r="Z49" t="b">
        <f t="shared" si="4"/>
        <v>1</v>
      </c>
      <c r="AA49" t="b">
        <f t="shared" si="5"/>
        <v>1</v>
      </c>
      <c r="AB49" t="b">
        <f t="shared" si="6"/>
        <v>0</v>
      </c>
      <c r="AC49" t="b">
        <f t="shared" si="7"/>
        <v>0</v>
      </c>
      <c r="AD49" t="b">
        <f t="shared" si="8"/>
        <v>0</v>
      </c>
      <c r="AE49" t="b">
        <f t="shared" si="9"/>
        <v>0</v>
      </c>
      <c r="AF49" t="b">
        <f t="shared" si="10"/>
        <v>0</v>
      </c>
      <c r="AG49" t="b">
        <f t="shared" si="11"/>
        <v>0</v>
      </c>
      <c r="AH49" t="b">
        <f t="shared" si="12"/>
        <v>0</v>
      </c>
    </row>
    <row r="50" spans="1:34" x14ac:dyDescent="0.2">
      <c r="A50" t="s">
        <v>338</v>
      </c>
      <c r="B50" t="s">
        <v>71</v>
      </c>
      <c r="C50" t="s">
        <v>71</v>
      </c>
      <c r="D50">
        <v>2</v>
      </c>
      <c r="E50">
        <v>1</v>
      </c>
      <c r="F50">
        <v>2</v>
      </c>
      <c r="G50">
        <v>2</v>
      </c>
      <c r="H50">
        <v>2</v>
      </c>
      <c r="I50">
        <v>1</v>
      </c>
      <c r="J50">
        <v>2</v>
      </c>
      <c r="K50">
        <v>1</v>
      </c>
      <c r="L50">
        <v>1</v>
      </c>
      <c r="M50">
        <v>2</v>
      </c>
      <c r="N50">
        <v>2</v>
      </c>
      <c r="O50">
        <v>2</v>
      </c>
      <c r="P50">
        <v>1</v>
      </c>
      <c r="Q50">
        <v>8</v>
      </c>
      <c r="R50">
        <v>5</v>
      </c>
      <c r="S50">
        <v>0</v>
      </c>
      <c r="T50">
        <v>0</v>
      </c>
      <c r="V50" t="b">
        <f t="shared" si="0"/>
        <v>1</v>
      </c>
      <c r="W50" t="b">
        <f t="shared" si="1"/>
        <v>1</v>
      </c>
      <c r="X50" t="b">
        <f t="shared" si="2"/>
        <v>1</v>
      </c>
      <c r="Y50" t="b">
        <f t="shared" si="3"/>
        <v>1</v>
      </c>
      <c r="Z50" t="b">
        <f t="shared" si="4"/>
        <v>1</v>
      </c>
      <c r="AA50" t="b">
        <f t="shared" si="5"/>
        <v>1</v>
      </c>
      <c r="AB50" t="b">
        <f t="shared" si="6"/>
        <v>1</v>
      </c>
      <c r="AC50" t="b">
        <f t="shared" si="7"/>
        <v>1</v>
      </c>
      <c r="AD50" t="b">
        <f t="shared" si="8"/>
        <v>0</v>
      </c>
      <c r="AE50" t="b">
        <f t="shared" si="9"/>
        <v>0</v>
      </c>
      <c r="AF50" t="b">
        <f t="shared" si="10"/>
        <v>0</v>
      </c>
      <c r="AG50" t="b">
        <f t="shared" si="11"/>
        <v>0</v>
      </c>
      <c r="AH50" t="b">
        <f t="shared" si="12"/>
        <v>0</v>
      </c>
    </row>
    <row r="51" spans="1:34" x14ac:dyDescent="0.2">
      <c r="A51" t="s">
        <v>347</v>
      </c>
      <c r="B51" t="s">
        <v>74</v>
      </c>
      <c r="C51" t="s">
        <v>74</v>
      </c>
      <c r="D51">
        <v>0</v>
      </c>
      <c r="E51">
        <v>1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P51">
        <v>0</v>
      </c>
      <c r="Q51">
        <v>0</v>
      </c>
      <c r="R51">
        <v>1</v>
      </c>
      <c r="S51">
        <v>11</v>
      </c>
      <c r="T51">
        <v>1</v>
      </c>
      <c r="V51" t="b">
        <f t="shared" si="0"/>
        <v>0</v>
      </c>
      <c r="W51" t="b">
        <f t="shared" si="1"/>
        <v>0</v>
      </c>
      <c r="X51" t="b">
        <f t="shared" si="2"/>
        <v>0</v>
      </c>
      <c r="Y51" t="b">
        <f t="shared" si="3"/>
        <v>0</v>
      </c>
      <c r="Z51" t="b">
        <f t="shared" si="4"/>
        <v>0</v>
      </c>
      <c r="AA51" t="b">
        <f t="shared" si="5"/>
        <v>0</v>
      </c>
      <c r="AB51" t="b">
        <f t="shared" si="6"/>
        <v>0</v>
      </c>
      <c r="AC51" t="b">
        <f t="shared" si="7"/>
        <v>0</v>
      </c>
      <c r="AD51" t="b">
        <f t="shared" si="8"/>
        <v>0</v>
      </c>
      <c r="AE51" t="b">
        <f t="shared" si="9"/>
        <v>0</v>
      </c>
      <c r="AF51" t="b">
        <f t="shared" si="10"/>
        <v>0</v>
      </c>
      <c r="AG51" t="b">
        <f t="shared" si="11"/>
        <v>0</v>
      </c>
      <c r="AH51" t="b">
        <f t="shared" si="12"/>
        <v>0</v>
      </c>
    </row>
    <row r="52" spans="1:34" x14ac:dyDescent="0.2">
      <c r="A52" t="s">
        <v>348</v>
      </c>
      <c r="B52" t="s">
        <v>74</v>
      </c>
      <c r="C52" t="s">
        <v>74</v>
      </c>
      <c r="D52">
        <v>0</v>
      </c>
      <c r="E52">
        <v>2</v>
      </c>
      <c r="F52">
        <v>2</v>
      </c>
      <c r="G52">
        <v>0</v>
      </c>
      <c r="H52">
        <v>0</v>
      </c>
      <c r="I52">
        <v>0</v>
      </c>
      <c r="J52">
        <v>0</v>
      </c>
      <c r="K52">
        <v>0</v>
      </c>
      <c r="L52">
        <v>2</v>
      </c>
      <c r="M52">
        <v>0</v>
      </c>
      <c r="N52">
        <v>0</v>
      </c>
      <c r="O52">
        <v>2</v>
      </c>
      <c r="P52">
        <v>0</v>
      </c>
      <c r="Q52">
        <v>4</v>
      </c>
      <c r="R52">
        <v>0</v>
      </c>
      <c r="S52">
        <v>9</v>
      </c>
      <c r="T52">
        <v>0</v>
      </c>
      <c r="V52" t="b">
        <f t="shared" si="0"/>
        <v>1</v>
      </c>
      <c r="W52" t="b">
        <f t="shared" si="1"/>
        <v>1</v>
      </c>
      <c r="X52" t="b">
        <f t="shared" si="2"/>
        <v>1</v>
      </c>
      <c r="Y52" t="b">
        <f t="shared" si="3"/>
        <v>1</v>
      </c>
      <c r="Z52" t="b">
        <f t="shared" si="4"/>
        <v>0</v>
      </c>
      <c r="AA52" t="b">
        <f t="shared" si="5"/>
        <v>0</v>
      </c>
      <c r="AB52" t="b">
        <f t="shared" si="6"/>
        <v>0</v>
      </c>
      <c r="AC52" t="b">
        <f t="shared" si="7"/>
        <v>0</v>
      </c>
      <c r="AD52" t="b">
        <f t="shared" si="8"/>
        <v>0</v>
      </c>
      <c r="AE52" t="b">
        <f t="shared" si="9"/>
        <v>0</v>
      </c>
      <c r="AF52" t="b">
        <f t="shared" si="10"/>
        <v>0</v>
      </c>
      <c r="AG52" t="b">
        <f t="shared" si="11"/>
        <v>0</v>
      </c>
      <c r="AH52" t="b">
        <f t="shared" si="12"/>
        <v>0</v>
      </c>
    </row>
    <row r="53" spans="1:34" x14ac:dyDescent="0.2">
      <c r="A53" t="s">
        <v>349</v>
      </c>
      <c r="B53" t="s">
        <v>74</v>
      </c>
      <c r="C53" t="s">
        <v>74</v>
      </c>
      <c r="D53">
        <v>2</v>
      </c>
      <c r="E53">
        <v>0</v>
      </c>
      <c r="F53">
        <v>2</v>
      </c>
      <c r="G53">
        <v>2</v>
      </c>
      <c r="H53">
        <v>2</v>
      </c>
      <c r="I53">
        <v>0</v>
      </c>
      <c r="J53">
        <v>2</v>
      </c>
      <c r="K53">
        <v>2</v>
      </c>
      <c r="L53">
        <v>1</v>
      </c>
      <c r="M53">
        <v>2</v>
      </c>
      <c r="O53">
        <v>2</v>
      </c>
      <c r="P53">
        <v>0</v>
      </c>
      <c r="Q53">
        <v>8</v>
      </c>
      <c r="R53">
        <v>1</v>
      </c>
      <c r="S53">
        <v>3</v>
      </c>
      <c r="T53">
        <v>1</v>
      </c>
      <c r="V53" t="b">
        <f t="shared" si="0"/>
        <v>1</v>
      </c>
      <c r="W53" t="b">
        <f t="shared" si="1"/>
        <v>1</v>
      </c>
      <c r="X53" t="b">
        <f t="shared" si="2"/>
        <v>1</v>
      </c>
      <c r="Y53" t="b">
        <f t="shared" si="3"/>
        <v>1</v>
      </c>
      <c r="Z53" t="b">
        <f t="shared" si="4"/>
        <v>1</v>
      </c>
      <c r="AA53" t="b">
        <f t="shared" si="5"/>
        <v>1</v>
      </c>
      <c r="AB53" t="b">
        <f t="shared" si="6"/>
        <v>1</v>
      </c>
      <c r="AC53" t="b">
        <f t="shared" si="7"/>
        <v>1</v>
      </c>
      <c r="AD53" t="b">
        <f t="shared" si="8"/>
        <v>0</v>
      </c>
      <c r="AE53" t="b">
        <f t="shared" si="9"/>
        <v>0</v>
      </c>
      <c r="AF53" t="b">
        <f t="shared" si="10"/>
        <v>0</v>
      </c>
      <c r="AG53" t="b">
        <f t="shared" si="11"/>
        <v>0</v>
      </c>
      <c r="AH53" t="b">
        <f t="shared" si="12"/>
        <v>0</v>
      </c>
    </row>
    <row r="54" spans="1:34" x14ac:dyDescent="0.2">
      <c r="A54" t="s">
        <v>350</v>
      </c>
      <c r="B54" t="s">
        <v>74</v>
      </c>
      <c r="C54" t="s">
        <v>74</v>
      </c>
      <c r="D54">
        <v>2</v>
      </c>
      <c r="E54">
        <v>0</v>
      </c>
      <c r="F54">
        <v>2</v>
      </c>
      <c r="G54">
        <v>2</v>
      </c>
      <c r="H54">
        <v>2</v>
      </c>
      <c r="I54">
        <v>0</v>
      </c>
      <c r="J54">
        <v>2</v>
      </c>
      <c r="K54">
        <v>2</v>
      </c>
      <c r="L54">
        <v>1</v>
      </c>
      <c r="M54">
        <v>2</v>
      </c>
      <c r="N54">
        <v>2</v>
      </c>
      <c r="O54">
        <v>2</v>
      </c>
      <c r="P54">
        <v>2</v>
      </c>
      <c r="Q54">
        <v>10</v>
      </c>
      <c r="R54">
        <v>1</v>
      </c>
      <c r="S54">
        <v>2</v>
      </c>
      <c r="T54">
        <v>0</v>
      </c>
      <c r="V54" t="b">
        <f t="shared" si="0"/>
        <v>1</v>
      </c>
      <c r="W54" t="b">
        <f t="shared" si="1"/>
        <v>1</v>
      </c>
      <c r="X54" t="b">
        <f t="shared" si="2"/>
        <v>1</v>
      </c>
      <c r="Y54" t="b">
        <f t="shared" si="3"/>
        <v>1</v>
      </c>
      <c r="Z54" t="b">
        <f t="shared" si="4"/>
        <v>1</v>
      </c>
      <c r="AA54" t="b">
        <f t="shared" si="5"/>
        <v>1</v>
      </c>
      <c r="AB54" t="b">
        <f t="shared" si="6"/>
        <v>1</v>
      </c>
      <c r="AC54" t="b">
        <f t="shared" si="7"/>
        <v>1</v>
      </c>
      <c r="AD54" t="b">
        <f t="shared" si="8"/>
        <v>1</v>
      </c>
      <c r="AE54" t="b">
        <f t="shared" si="9"/>
        <v>1</v>
      </c>
      <c r="AF54" t="b">
        <f t="shared" si="10"/>
        <v>0</v>
      </c>
      <c r="AG54" t="b">
        <f t="shared" si="11"/>
        <v>0</v>
      </c>
      <c r="AH54" t="b">
        <f t="shared" si="12"/>
        <v>0</v>
      </c>
    </row>
    <row r="55" spans="1:34" x14ac:dyDescent="0.2">
      <c r="A55" t="s">
        <v>351</v>
      </c>
      <c r="B55" t="s">
        <v>74</v>
      </c>
      <c r="C55" t="s">
        <v>74</v>
      </c>
      <c r="D55">
        <v>2</v>
      </c>
      <c r="E55">
        <v>0</v>
      </c>
      <c r="F55">
        <v>2</v>
      </c>
      <c r="G55">
        <v>2</v>
      </c>
      <c r="H55">
        <v>0</v>
      </c>
      <c r="I55">
        <v>0</v>
      </c>
      <c r="J55">
        <v>1</v>
      </c>
      <c r="K55">
        <v>1</v>
      </c>
      <c r="L55">
        <v>1</v>
      </c>
      <c r="M55">
        <v>1</v>
      </c>
      <c r="O55">
        <v>2</v>
      </c>
      <c r="P55">
        <v>2</v>
      </c>
      <c r="Q55">
        <v>5</v>
      </c>
      <c r="R55">
        <v>4</v>
      </c>
      <c r="S55">
        <v>3</v>
      </c>
      <c r="T55">
        <v>1</v>
      </c>
      <c r="V55" t="b">
        <f t="shared" si="0"/>
        <v>1</v>
      </c>
      <c r="W55" t="b">
        <f t="shared" si="1"/>
        <v>1</v>
      </c>
      <c r="X55" t="b">
        <f t="shared" si="2"/>
        <v>1</v>
      </c>
      <c r="Y55" t="b">
        <f t="shared" si="3"/>
        <v>1</v>
      </c>
      <c r="Z55" t="b">
        <f t="shared" si="4"/>
        <v>1</v>
      </c>
      <c r="AA55" t="b">
        <f t="shared" si="5"/>
        <v>0</v>
      </c>
      <c r="AB55" t="b">
        <f t="shared" si="6"/>
        <v>0</v>
      </c>
      <c r="AC55" t="b">
        <f t="shared" si="7"/>
        <v>0</v>
      </c>
      <c r="AD55" t="b">
        <f t="shared" si="8"/>
        <v>0</v>
      </c>
      <c r="AE55" t="b">
        <f t="shared" si="9"/>
        <v>0</v>
      </c>
      <c r="AF55" t="b">
        <f t="shared" si="10"/>
        <v>0</v>
      </c>
      <c r="AG55" t="b">
        <f t="shared" si="11"/>
        <v>0</v>
      </c>
      <c r="AH55" t="b">
        <f t="shared" si="12"/>
        <v>0</v>
      </c>
    </row>
    <row r="56" spans="1:34" x14ac:dyDescent="0.2">
      <c r="A56" t="s">
        <v>352</v>
      </c>
      <c r="B56" t="s">
        <v>78</v>
      </c>
      <c r="C56" t="s">
        <v>78</v>
      </c>
      <c r="D56">
        <v>1</v>
      </c>
      <c r="E56">
        <v>1</v>
      </c>
      <c r="F56">
        <v>2</v>
      </c>
      <c r="G56">
        <v>2</v>
      </c>
      <c r="H56">
        <v>1</v>
      </c>
      <c r="I56">
        <v>2</v>
      </c>
      <c r="J56">
        <v>1</v>
      </c>
      <c r="K56">
        <v>2</v>
      </c>
      <c r="L56">
        <v>2</v>
      </c>
      <c r="M56">
        <v>0</v>
      </c>
      <c r="N56">
        <v>0</v>
      </c>
      <c r="O56">
        <v>2</v>
      </c>
      <c r="P56">
        <v>0</v>
      </c>
      <c r="Q56">
        <v>6</v>
      </c>
      <c r="R56">
        <v>4</v>
      </c>
      <c r="S56">
        <v>3</v>
      </c>
      <c r="T56">
        <v>0</v>
      </c>
      <c r="V56" t="b">
        <f t="shared" si="0"/>
        <v>1</v>
      </c>
      <c r="W56" t="b">
        <f t="shared" si="1"/>
        <v>1</v>
      </c>
      <c r="X56" t="b">
        <f t="shared" si="2"/>
        <v>1</v>
      </c>
      <c r="Y56" t="b">
        <f t="shared" si="3"/>
        <v>1</v>
      </c>
      <c r="Z56" t="b">
        <f t="shared" si="4"/>
        <v>1</v>
      </c>
      <c r="AA56" t="b">
        <f t="shared" si="5"/>
        <v>1</v>
      </c>
      <c r="AB56" t="b">
        <f t="shared" si="6"/>
        <v>0</v>
      </c>
      <c r="AC56" t="b">
        <f t="shared" si="7"/>
        <v>0</v>
      </c>
      <c r="AD56" t="b">
        <f t="shared" si="8"/>
        <v>0</v>
      </c>
      <c r="AE56" t="b">
        <f t="shared" si="9"/>
        <v>0</v>
      </c>
      <c r="AF56" t="b">
        <f t="shared" si="10"/>
        <v>0</v>
      </c>
      <c r="AG56" t="b">
        <f t="shared" si="11"/>
        <v>0</v>
      </c>
      <c r="AH56" t="b">
        <f t="shared" si="12"/>
        <v>0</v>
      </c>
    </row>
    <row r="57" spans="1:34" x14ac:dyDescent="0.2">
      <c r="A57" t="s">
        <v>353</v>
      </c>
      <c r="B57" t="s">
        <v>78</v>
      </c>
      <c r="C57" t="s">
        <v>78</v>
      </c>
      <c r="D57">
        <v>1</v>
      </c>
      <c r="E57">
        <v>1</v>
      </c>
      <c r="F57">
        <v>2</v>
      </c>
      <c r="G57">
        <v>2</v>
      </c>
      <c r="H57">
        <v>0</v>
      </c>
      <c r="I57">
        <v>2</v>
      </c>
      <c r="J57">
        <v>1</v>
      </c>
      <c r="K57">
        <v>1</v>
      </c>
      <c r="L57">
        <v>1</v>
      </c>
      <c r="M57">
        <v>0</v>
      </c>
      <c r="O57">
        <v>2</v>
      </c>
      <c r="P57">
        <v>0</v>
      </c>
      <c r="Q57">
        <v>4</v>
      </c>
      <c r="R57">
        <v>5</v>
      </c>
      <c r="S57">
        <v>3</v>
      </c>
      <c r="T57">
        <v>1</v>
      </c>
      <c r="V57" t="b">
        <f t="shared" si="0"/>
        <v>1</v>
      </c>
      <c r="W57" t="b">
        <f t="shared" si="1"/>
        <v>1</v>
      </c>
      <c r="X57" t="b">
        <f t="shared" si="2"/>
        <v>1</v>
      </c>
      <c r="Y57" t="b">
        <f t="shared" si="3"/>
        <v>1</v>
      </c>
      <c r="Z57" t="b">
        <f t="shared" si="4"/>
        <v>0</v>
      </c>
      <c r="AA57" t="b">
        <f t="shared" si="5"/>
        <v>0</v>
      </c>
      <c r="AB57" t="b">
        <f t="shared" si="6"/>
        <v>0</v>
      </c>
      <c r="AC57" t="b">
        <f t="shared" si="7"/>
        <v>0</v>
      </c>
      <c r="AD57" t="b">
        <f t="shared" si="8"/>
        <v>0</v>
      </c>
      <c r="AE57" t="b">
        <f t="shared" si="9"/>
        <v>0</v>
      </c>
      <c r="AF57" t="b">
        <f t="shared" si="10"/>
        <v>0</v>
      </c>
      <c r="AG57" t="b">
        <f t="shared" si="11"/>
        <v>0</v>
      </c>
      <c r="AH57" t="b">
        <f t="shared" si="12"/>
        <v>0</v>
      </c>
    </row>
    <row r="58" spans="1:34" x14ac:dyDescent="0.2">
      <c r="A58" t="s">
        <v>354</v>
      </c>
      <c r="B58" t="s">
        <v>78</v>
      </c>
      <c r="C58" t="s">
        <v>78</v>
      </c>
      <c r="D58">
        <v>0</v>
      </c>
      <c r="E58">
        <v>2</v>
      </c>
      <c r="F58">
        <v>2</v>
      </c>
      <c r="G58">
        <v>2</v>
      </c>
      <c r="H58">
        <v>0</v>
      </c>
      <c r="I58">
        <v>1</v>
      </c>
      <c r="J58">
        <v>1</v>
      </c>
      <c r="K58">
        <v>1</v>
      </c>
      <c r="L58">
        <v>1</v>
      </c>
      <c r="M58">
        <v>0</v>
      </c>
      <c r="O58">
        <v>2</v>
      </c>
      <c r="P58">
        <v>0</v>
      </c>
      <c r="Q58">
        <v>4</v>
      </c>
      <c r="R58">
        <v>4</v>
      </c>
      <c r="S58">
        <v>4</v>
      </c>
      <c r="T58">
        <v>1</v>
      </c>
      <c r="V58" t="b">
        <f t="shared" si="0"/>
        <v>1</v>
      </c>
      <c r="W58" t="b">
        <f t="shared" si="1"/>
        <v>1</v>
      </c>
      <c r="X58" t="b">
        <f t="shared" si="2"/>
        <v>1</v>
      </c>
      <c r="Y58" t="b">
        <f t="shared" si="3"/>
        <v>1</v>
      </c>
      <c r="Z58" t="b">
        <f t="shared" si="4"/>
        <v>0</v>
      </c>
      <c r="AA58" t="b">
        <f t="shared" si="5"/>
        <v>0</v>
      </c>
      <c r="AB58" t="b">
        <f t="shared" si="6"/>
        <v>0</v>
      </c>
      <c r="AC58" t="b">
        <f t="shared" si="7"/>
        <v>0</v>
      </c>
      <c r="AD58" t="b">
        <f t="shared" si="8"/>
        <v>0</v>
      </c>
      <c r="AE58" t="b">
        <f t="shared" si="9"/>
        <v>0</v>
      </c>
      <c r="AF58" t="b">
        <f t="shared" si="10"/>
        <v>0</v>
      </c>
      <c r="AG58" t="b">
        <f t="shared" si="11"/>
        <v>0</v>
      </c>
      <c r="AH58" t="b">
        <f t="shared" si="12"/>
        <v>0</v>
      </c>
    </row>
    <row r="59" spans="1:34" x14ac:dyDescent="0.2">
      <c r="A59" t="s">
        <v>355</v>
      </c>
      <c r="B59" t="s">
        <v>78</v>
      </c>
      <c r="C59" t="s">
        <v>78</v>
      </c>
      <c r="D59">
        <v>0</v>
      </c>
      <c r="E59">
        <v>2</v>
      </c>
      <c r="F59">
        <v>2</v>
      </c>
      <c r="G59">
        <v>0</v>
      </c>
      <c r="H59">
        <v>0</v>
      </c>
      <c r="I59">
        <v>0</v>
      </c>
      <c r="J59">
        <v>1</v>
      </c>
      <c r="K59">
        <v>1</v>
      </c>
      <c r="L59">
        <v>2</v>
      </c>
      <c r="M59">
        <v>0</v>
      </c>
      <c r="O59">
        <v>2</v>
      </c>
      <c r="P59">
        <v>0</v>
      </c>
      <c r="Q59">
        <v>4</v>
      </c>
      <c r="R59">
        <v>2</v>
      </c>
      <c r="S59">
        <v>6</v>
      </c>
      <c r="T59">
        <v>1</v>
      </c>
      <c r="V59" t="b">
        <f t="shared" si="0"/>
        <v>1</v>
      </c>
      <c r="W59" t="b">
        <f t="shared" si="1"/>
        <v>1</v>
      </c>
      <c r="X59" t="b">
        <f t="shared" si="2"/>
        <v>1</v>
      </c>
      <c r="Y59" t="b">
        <f t="shared" si="3"/>
        <v>1</v>
      </c>
      <c r="Z59" t="b">
        <f t="shared" si="4"/>
        <v>0</v>
      </c>
      <c r="AA59" t="b">
        <f t="shared" si="5"/>
        <v>0</v>
      </c>
      <c r="AB59" t="b">
        <f t="shared" si="6"/>
        <v>0</v>
      </c>
      <c r="AC59" t="b">
        <f t="shared" si="7"/>
        <v>0</v>
      </c>
      <c r="AD59" t="b">
        <f t="shared" si="8"/>
        <v>0</v>
      </c>
      <c r="AE59" t="b">
        <f t="shared" si="9"/>
        <v>0</v>
      </c>
      <c r="AF59" t="b">
        <f t="shared" si="10"/>
        <v>0</v>
      </c>
      <c r="AG59" t="b">
        <f t="shared" si="11"/>
        <v>0</v>
      </c>
      <c r="AH59" t="b">
        <f t="shared" si="12"/>
        <v>0</v>
      </c>
    </row>
    <row r="60" spans="1:34" x14ac:dyDescent="0.2">
      <c r="A60" t="s">
        <v>356</v>
      </c>
      <c r="B60" t="s">
        <v>78</v>
      </c>
      <c r="C60" t="s">
        <v>78</v>
      </c>
      <c r="D60">
        <v>0</v>
      </c>
      <c r="E60">
        <v>2</v>
      </c>
      <c r="F60">
        <v>2</v>
      </c>
      <c r="G60">
        <v>0</v>
      </c>
      <c r="H60">
        <v>0</v>
      </c>
      <c r="I60">
        <v>0</v>
      </c>
      <c r="J60">
        <v>2</v>
      </c>
      <c r="K60">
        <v>2</v>
      </c>
      <c r="L60">
        <v>0</v>
      </c>
      <c r="M60">
        <v>0</v>
      </c>
      <c r="O60">
        <v>2</v>
      </c>
      <c r="P60">
        <v>0</v>
      </c>
      <c r="Q60">
        <v>5</v>
      </c>
      <c r="R60">
        <v>0</v>
      </c>
      <c r="S60">
        <v>7</v>
      </c>
      <c r="T60">
        <v>1</v>
      </c>
      <c r="V60" t="b">
        <f t="shared" si="0"/>
        <v>1</v>
      </c>
      <c r="W60" t="b">
        <f t="shared" si="1"/>
        <v>1</v>
      </c>
      <c r="X60" t="b">
        <f t="shared" si="2"/>
        <v>1</v>
      </c>
      <c r="Y60" t="b">
        <f t="shared" si="3"/>
        <v>1</v>
      </c>
      <c r="Z60" t="b">
        <f t="shared" si="4"/>
        <v>1</v>
      </c>
      <c r="AA60" t="b">
        <f t="shared" si="5"/>
        <v>0</v>
      </c>
      <c r="AB60" t="b">
        <f t="shared" si="6"/>
        <v>0</v>
      </c>
      <c r="AC60" t="b">
        <f t="shared" si="7"/>
        <v>0</v>
      </c>
      <c r="AD60" t="b">
        <f t="shared" si="8"/>
        <v>0</v>
      </c>
      <c r="AE60" t="b">
        <f t="shared" si="9"/>
        <v>0</v>
      </c>
      <c r="AF60" t="b">
        <f t="shared" si="10"/>
        <v>0</v>
      </c>
      <c r="AG60" t="b">
        <f t="shared" si="11"/>
        <v>0</v>
      </c>
      <c r="AH60" t="b">
        <f t="shared" si="12"/>
        <v>0</v>
      </c>
    </row>
    <row r="61" spans="1:34" x14ac:dyDescent="0.2">
      <c r="A61" t="s">
        <v>357</v>
      </c>
      <c r="B61" t="s">
        <v>78</v>
      </c>
      <c r="C61" t="s">
        <v>78</v>
      </c>
      <c r="D61">
        <v>0</v>
      </c>
      <c r="E61">
        <v>0</v>
      </c>
      <c r="F61">
        <v>2</v>
      </c>
      <c r="G61">
        <v>2</v>
      </c>
      <c r="H61">
        <v>0</v>
      </c>
      <c r="I61">
        <v>0</v>
      </c>
      <c r="J61">
        <v>1</v>
      </c>
      <c r="K61">
        <v>0</v>
      </c>
      <c r="L61">
        <v>0</v>
      </c>
      <c r="M61">
        <v>0</v>
      </c>
      <c r="O61">
        <v>2</v>
      </c>
      <c r="P61">
        <v>0</v>
      </c>
      <c r="Q61">
        <v>3</v>
      </c>
      <c r="R61">
        <v>1</v>
      </c>
      <c r="S61">
        <v>8</v>
      </c>
      <c r="T61">
        <v>1</v>
      </c>
      <c r="V61" t="b">
        <f t="shared" si="0"/>
        <v>1</v>
      </c>
      <c r="W61" t="b">
        <f t="shared" si="1"/>
        <v>1</v>
      </c>
      <c r="X61" t="b">
        <f t="shared" si="2"/>
        <v>1</v>
      </c>
      <c r="Y61" t="b">
        <f t="shared" si="3"/>
        <v>0</v>
      </c>
      <c r="Z61" t="b">
        <f t="shared" si="4"/>
        <v>0</v>
      </c>
      <c r="AA61" t="b">
        <f t="shared" si="5"/>
        <v>0</v>
      </c>
      <c r="AB61" t="b">
        <f t="shared" si="6"/>
        <v>0</v>
      </c>
      <c r="AC61" t="b">
        <f t="shared" si="7"/>
        <v>0</v>
      </c>
      <c r="AD61" t="b">
        <f t="shared" si="8"/>
        <v>0</v>
      </c>
      <c r="AE61" t="b">
        <f t="shared" si="9"/>
        <v>0</v>
      </c>
      <c r="AF61" t="b">
        <f t="shared" si="10"/>
        <v>0</v>
      </c>
      <c r="AG61" t="b">
        <f t="shared" si="11"/>
        <v>0</v>
      </c>
      <c r="AH61" t="b">
        <f t="shared" si="12"/>
        <v>0</v>
      </c>
    </row>
    <row r="62" spans="1:34" x14ac:dyDescent="0.2">
      <c r="A62" t="s">
        <v>358</v>
      </c>
      <c r="B62" t="s">
        <v>78</v>
      </c>
      <c r="C62" t="s">
        <v>78</v>
      </c>
      <c r="D62">
        <v>1</v>
      </c>
      <c r="E62">
        <v>2</v>
      </c>
      <c r="F62">
        <v>2</v>
      </c>
      <c r="G62">
        <v>2</v>
      </c>
      <c r="H62">
        <v>1</v>
      </c>
      <c r="I62">
        <v>0</v>
      </c>
      <c r="J62">
        <v>1</v>
      </c>
      <c r="K62">
        <v>1</v>
      </c>
      <c r="L62">
        <v>1</v>
      </c>
      <c r="M62">
        <v>1</v>
      </c>
      <c r="O62">
        <v>2</v>
      </c>
      <c r="P62">
        <v>0</v>
      </c>
      <c r="Q62">
        <v>4</v>
      </c>
      <c r="R62">
        <v>6</v>
      </c>
      <c r="S62">
        <v>2</v>
      </c>
      <c r="T62">
        <v>1</v>
      </c>
      <c r="V62" t="b">
        <f t="shared" si="0"/>
        <v>1</v>
      </c>
      <c r="W62" t="b">
        <f t="shared" si="1"/>
        <v>1</v>
      </c>
      <c r="X62" t="b">
        <f t="shared" si="2"/>
        <v>1</v>
      </c>
      <c r="Y62" t="b">
        <f t="shared" si="3"/>
        <v>1</v>
      </c>
      <c r="Z62" t="b">
        <f t="shared" si="4"/>
        <v>0</v>
      </c>
      <c r="AA62" t="b">
        <f t="shared" si="5"/>
        <v>0</v>
      </c>
      <c r="AB62" t="b">
        <f t="shared" si="6"/>
        <v>0</v>
      </c>
      <c r="AC62" t="b">
        <f t="shared" si="7"/>
        <v>0</v>
      </c>
      <c r="AD62" t="b">
        <f t="shared" si="8"/>
        <v>0</v>
      </c>
      <c r="AE62" t="b">
        <f t="shared" si="9"/>
        <v>0</v>
      </c>
      <c r="AF62" t="b">
        <f t="shared" si="10"/>
        <v>0</v>
      </c>
      <c r="AG62" t="b">
        <f t="shared" si="11"/>
        <v>0</v>
      </c>
      <c r="AH62" t="b">
        <f t="shared" si="12"/>
        <v>0</v>
      </c>
    </row>
    <row r="63" spans="1:34" x14ac:dyDescent="0.2">
      <c r="A63" t="s">
        <v>359</v>
      </c>
      <c r="B63" t="s">
        <v>78</v>
      </c>
      <c r="C63" t="s">
        <v>78</v>
      </c>
      <c r="E63">
        <v>2</v>
      </c>
      <c r="F63">
        <v>2</v>
      </c>
      <c r="G63">
        <v>0</v>
      </c>
      <c r="H63">
        <v>0</v>
      </c>
      <c r="I63">
        <v>0</v>
      </c>
      <c r="J63">
        <v>1</v>
      </c>
      <c r="L63">
        <v>1</v>
      </c>
      <c r="M63">
        <v>0</v>
      </c>
      <c r="O63">
        <v>2</v>
      </c>
      <c r="P63">
        <v>0</v>
      </c>
      <c r="Q63">
        <v>3</v>
      </c>
      <c r="R63">
        <v>2</v>
      </c>
      <c r="S63">
        <v>5</v>
      </c>
      <c r="T63">
        <v>3</v>
      </c>
      <c r="V63" t="b">
        <f t="shared" si="0"/>
        <v>1</v>
      </c>
      <c r="W63" t="b">
        <f t="shared" si="1"/>
        <v>1</v>
      </c>
      <c r="X63" t="b">
        <f t="shared" si="2"/>
        <v>1</v>
      </c>
      <c r="Y63" t="b">
        <f t="shared" si="3"/>
        <v>0</v>
      </c>
      <c r="Z63" t="b">
        <f t="shared" si="4"/>
        <v>0</v>
      </c>
      <c r="AA63" t="b">
        <f t="shared" si="5"/>
        <v>0</v>
      </c>
      <c r="AB63" t="b">
        <f t="shared" si="6"/>
        <v>0</v>
      </c>
      <c r="AC63" t="b">
        <f t="shared" si="7"/>
        <v>0</v>
      </c>
      <c r="AD63" t="b">
        <f t="shared" si="8"/>
        <v>0</v>
      </c>
      <c r="AE63" t="b">
        <f t="shared" si="9"/>
        <v>0</v>
      </c>
      <c r="AF63" t="b">
        <f t="shared" si="10"/>
        <v>0</v>
      </c>
      <c r="AG63" t="b">
        <f t="shared" si="11"/>
        <v>0</v>
      </c>
      <c r="AH63" t="b">
        <f t="shared" si="12"/>
        <v>0</v>
      </c>
    </row>
    <row r="64" spans="1:34" x14ac:dyDescent="0.2">
      <c r="A64" t="s">
        <v>360</v>
      </c>
      <c r="B64" t="s">
        <v>78</v>
      </c>
      <c r="C64" t="s">
        <v>78</v>
      </c>
      <c r="D64">
        <v>0</v>
      </c>
      <c r="E64">
        <v>2</v>
      </c>
      <c r="F64">
        <v>2</v>
      </c>
      <c r="G64">
        <v>2</v>
      </c>
      <c r="H64">
        <v>0</v>
      </c>
      <c r="I64">
        <v>0</v>
      </c>
      <c r="J64">
        <v>1</v>
      </c>
      <c r="L64">
        <v>1</v>
      </c>
      <c r="M64">
        <v>2</v>
      </c>
      <c r="O64">
        <v>2</v>
      </c>
      <c r="P64">
        <v>0</v>
      </c>
      <c r="Q64">
        <v>5</v>
      </c>
      <c r="R64">
        <v>2</v>
      </c>
      <c r="S64">
        <v>4</v>
      </c>
      <c r="T64">
        <v>2</v>
      </c>
      <c r="V64" t="b">
        <f t="shared" si="0"/>
        <v>1</v>
      </c>
      <c r="W64" t="b">
        <f t="shared" si="1"/>
        <v>1</v>
      </c>
      <c r="X64" t="b">
        <f t="shared" si="2"/>
        <v>1</v>
      </c>
      <c r="Y64" t="b">
        <f t="shared" si="3"/>
        <v>1</v>
      </c>
      <c r="Z64" t="b">
        <f t="shared" si="4"/>
        <v>1</v>
      </c>
      <c r="AA64" t="b">
        <f t="shared" si="5"/>
        <v>0</v>
      </c>
      <c r="AB64" t="b">
        <f t="shared" si="6"/>
        <v>0</v>
      </c>
      <c r="AC64" t="b">
        <f t="shared" si="7"/>
        <v>0</v>
      </c>
      <c r="AD64" t="b">
        <f t="shared" si="8"/>
        <v>0</v>
      </c>
      <c r="AE64" t="b">
        <f t="shared" si="9"/>
        <v>0</v>
      </c>
      <c r="AF64" t="b">
        <f t="shared" si="10"/>
        <v>0</v>
      </c>
      <c r="AG64" t="b">
        <f t="shared" si="11"/>
        <v>0</v>
      </c>
      <c r="AH64" t="b">
        <f t="shared" si="12"/>
        <v>0</v>
      </c>
    </row>
    <row r="65" spans="1:34" x14ac:dyDescent="0.2">
      <c r="A65" t="s">
        <v>233</v>
      </c>
      <c r="B65" t="s">
        <v>78</v>
      </c>
      <c r="C65" t="s">
        <v>78</v>
      </c>
      <c r="D65">
        <v>0</v>
      </c>
      <c r="E65">
        <v>2</v>
      </c>
      <c r="F65">
        <v>2</v>
      </c>
      <c r="G65">
        <v>2</v>
      </c>
      <c r="H65">
        <v>0</v>
      </c>
      <c r="I65">
        <v>1</v>
      </c>
      <c r="J65">
        <v>0</v>
      </c>
      <c r="K65">
        <v>2</v>
      </c>
      <c r="L65">
        <v>1</v>
      </c>
      <c r="M65">
        <v>0</v>
      </c>
      <c r="O65">
        <v>2</v>
      </c>
      <c r="P65">
        <v>0</v>
      </c>
      <c r="Q65">
        <v>5</v>
      </c>
      <c r="R65">
        <v>2</v>
      </c>
      <c r="S65">
        <v>5</v>
      </c>
      <c r="T65">
        <v>1</v>
      </c>
      <c r="V65" t="b">
        <f t="shared" si="0"/>
        <v>1</v>
      </c>
      <c r="W65" t="b">
        <f t="shared" si="1"/>
        <v>1</v>
      </c>
      <c r="X65" t="b">
        <f t="shared" si="2"/>
        <v>1</v>
      </c>
      <c r="Y65" t="b">
        <f t="shared" si="3"/>
        <v>1</v>
      </c>
      <c r="Z65" t="b">
        <f t="shared" si="4"/>
        <v>1</v>
      </c>
      <c r="AA65" t="b">
        <f t="shared" si="5"/>
        <v>0</v>
      </c>
      <c r="AB65" t="b">
        <f t="shared" si="6"/>
        <v>0</v>
      </c>
      <c r="AC65" t="b">
        <f t="shared" si="7"/>
        <v>0</v>
      </c>
      <c r="AD65" t="b">
        <f t="shared" si="8"/>
        <v>0</v>
      </c>
      <c r="AE65" t="b">
        <f t="shared" si="9"/>
        <v>0</v>
      </c>
      <c r="AF65" t="b">
        <f t="shared" si="10"/>
        <v>0</v>
      </c>
      <c r="AG65" t="b">
        <f t="shared" si="11"/>
        <v>0</v>
      </c>
      <c r="AH65" t="b">
        <f t="shared" si="12"/>
        <v>0</v>
      </c>
    </row>
    <row r="66" spans="1:34" x14ac:dyDescent="0.2">
      <c r="A66" t="s">
        <v>361</v>
      </c>
      <c r="B66" t="s">
        <v>78</v>
      </c>
      <c r="C66" t="s">
        <v>78</v>
      </c>
      <c r="D66">
        <v>0</v>
      </c>
      <c r="E66">
        <v>2</v>
      </c>
      <c r="F66">
        <v>2</v>
      </c>
      <c r="G66">
        <v>0</v>
      </c>
      <c r="H66">
        <v>0</v>
      </c>
      <c r="I66">
        <v>0</v>
      </c>
      <c r="J66">
        <v>1</v>
      </c>
      <c r="K66">
        <v>2</v>
      </c>
      <c r="L66">
        <v>1</v>
      </c>
      <c r="M66">
        <v>1</v>
      </c>
      <c r="O66">
        <v>2</v>
      </c>
      <c r="P66">
        <v>2</v>
      </c>
      <c r="Q66">
        <v>5</v>
      </c>
      <c r="R66">
        <v>3</v>
      </c>
      <c r="S66">
        <v>4</v>
      </c>
      <c r="T66">
        <v>1</v>
      </c>
      <c r="V66" t="b">
        <f t="shared" si="0"/>
        <v>1</v>
      </c>
      <c r="W66" t="b">
        <f t="shared" si="1"/>
        <v>1</v>
      </c>
      <c r="X66" t="b">
        <f t="shared" si="2"/>
        <v>1</v>
      </c>
      <c r="Y66" t="b">
        <f t="shared" si="3"/>
        <v>1</v>
      </c>
      <c r="Z66" t="b">
        <f t="shared" si="4"/>
        <v>1</v>
      </c>
      <c r="AA66" t="b">
        <f t="shared" si="5"/>
        <v>0</v>
      </c>
      <c r="AB66" t="b">
        <f t="shared" si="6"/>
        <v>0</v>
      </c>
      <c r="AC66" t="b">
        <f t="shared" si="7"/>
        <v>0</v>
      </c>
      <c r="AD66" t="b">
        <f t="shared" si="8"/>
        <v>0</v>
      </c>
      <c r="AE66" t="b">
        <f t="shared" si="9"/>
        <v>0</v>
      </c>
      <c r="AF66" t="b">
        <f t="shared" si="10"/>
        <v>0</v>
      </c>
      <c r="AG66" t="b">
        <f t="shared" si="11"/>
        <v>0</v>
      </c>
      <c r="AH66" t="b">
        <f t="shared" si="12"/>
        <v>0</v>
      </c>
    </row>
    <row r="67" spans="1:34" x14ac:dyDescent="0.2">
      <c r="A67" t="s">
        <v>362</v>
      </c>
      <c r="B67" t="s">
        <v>78</v>
      </c>
      <c r="C67" t="s">
        <v>78</v>
      </c>
      <c r="D67">
        <v>1</v>
      </c>
      <c r="E67">
        <v>2</v>
      </c>
      <c r="F67">
        <v>2</v>
      </c>
      <c r="G67">
        <v>2</v>
      </c>
      <c r="H67">
        <v>0</v>
      </c>
      <c r="I67">
        <v>1</v>
      </c>
      <c r="J67">
        <v>1</v>
      </c>
      <c r="K67">
        <v>2</v>
      </c>
      <c r="L67">
        <v>1</v>
      </c>
      <c r="M67">
        <v>2</v>
      </c>
      <c r="O67">
        <v>2</v>
      </c>
      <c r="P67">
        <v>1</v>
      </c>
      <c r="Q67">
        <v>6</v>
      </c>
      <c r="R67">
        <v>5</v>
      </c>
      <c r="S67">
        <v>1</v>
      </c>
      <c r="T67">
        <v>1</v>
      </c>
      <c r="V67" t="b">
        <f t="shared" ref="V67:V81" si="13">Q67&gt;=1</f>
        <v>1</v>
      </c>
      <c r="W67" t="b">
        <f t="shared" ref="W67:W81" si="14">Q67&gt;=2</f>
        <v>1</v>
      </c>
      <c r="X67" t="b">
        <f t="shared" ref="X67:X81" si="15">Q67&gt;=3</f>
        <v>1</v>
      </c>
      <c r="Y67" t="b">
        <f t="shared" ref="Y67:Y81" si="16">Q67&gt;=4</f>
        <v>1</v>
      </c>
      <c r="Z67" t="b">
        <f t="shared" ref="Z67:Z81" si="17">Q67&gt;=5</f>
        <v>1</v>
      </c>
      <c r="AA67" t="b">
        <f t="shared" ref="AA67:AA81" si="18">Q67&gt;=6</f>
        <v>1</v>
      </c>
      <c r="AB67" t="b">
        <f t="shared" ref="AB67:AB81" si="19">Q67&gt;=7</f>
        <v>0</v>
      </c>
      <c r="AC67" t="b">
        <f t="shared" ref="AC67:AC81" si="20">Q67&gt;=8</f>
        <v>0</v>
      </c>
      <c r="AD67" t="b">
        <f t="shared" ref="AD67:AD81" si="21">Q67&gt;=9</f>
        <v>0</v>
      </c>
      <c r="AE67" t="b">
        <f t="shared" ref="AE67:AE81" si="22">Q67&gt;=10</f>
        <v>0</v>
      </c>
      <c r="AF67" t="b">
        <f t="shared" ref="AF67:AF81" si="23">Q67&gt;=11</f>
        <v>0</v>
      </c>
      <c r="AG67" t="b">
        <f t="shared" ref="AG67:AG81" si="24">Q67&gt;=12</f>
        <v>0</v>
      </c>
      <c r="AH67" t="b">
        <f t="shared" ref="AH67:AH81" si="25">Q67&gt;=13</f>
        <v>0</v>
      </c>
    </row>
    <row r="68" spans="1:34" x14ac:dyDescent="0.2">
      <c r="A68" t="s">
        <v>363</v>
      </c>
      <c r="B68" t="s">
        <v>84</v>
      </c>
      <c r="C68" t="s">
        <v>44</v>
      </c>
      <c r="D68">
        <v>1</v>
      </c>
      <c r="E68">
        <v>0</v>
      </c>
      <c r="F68">
        <v>2</v>
      </c>
      <c r="G68">
        <v>2</v>
      </c>
      <c r="H68">
        <v>1</v>
      </c>
      <c r="I68">
        <v>2</v>
      </c>
      <c r="J68">
        <v>1</v>
      </c>
      <c r="K68">
        <v>2</v>
      </c>
      <c r="L68">
        <v>1</v>
      </c>
      <c r="M68">
        <v>1</v>
      </c>
      <c r="N68">
        <v>1</v>
      </c>
      <c r="O68">
        <v>2</v>
      </c>
      <c r="P68">
        <v>1</v>
      </c>
      <c r="Q68">
        <v>5</v>
      </c>
      <c r="R68">
        <v>7</v>
      </c>
      <c r="S68">
        <v>1</v>
      </c>
      <c r="T68">
        <v>0</v>
      </c>
      <c r="V68" t="b">
        <f t="shared" si="13"/>
        <v>1</v>
      </c>
      <c r="W68" t="b">
        <f t="shared" si="14"/>
        <v>1</v>
      </c>
      <c r="X68" t="b">
        <f t="shared" si="15"/>
        <v>1</v>
      </c>
      <c r="Y68" t="b">
        <f t="shared" si="16"/>
        <v>1</v>
      </c>
      <c r="Z68" t="b">
        <f t="shared" si="17"/>
        <v>1</v>
      </c>
      <c r="AA68" t="b">
        <f t="shared" si="18"/>
        <v>0</v>
      </c>
      <c r="AB68" t="b">
        <f t="shared" si="19"/>
        <v>0</v>
      </c>
      <c r="AC68" t="b">
        <f t="shared" si="20"/>
        <v>0</v>
      </c>
      <c r="AD68" t="b">
        <f t="shared" si="21"/>
        <v>0</v>
      </c>
      <c r="AE68" t="b">
        <f t="shared" si="22"/>
        <v>0</v>
      </c>
      <c r="AF68" t="b">
        <f t="shared" si="23"/>
        <v>0</v>
      </c>
      <c r="AG68" t="b">
        <f t="shared" si="24"/>
        <v>0</v>
      </c>
      <c r="AH68" t="b">
        <f t="shared" si="25"/>
        <v>0</v>
      </c>
    </row>
    <row r="69" spans="1:34" x14ac:dyDescent="0.2">
      <c r="A69" t="s">
        <v>364</v>
      </c>
      <c r="B69" t="s">
        <v>84</v>
      </c>
      <c r="C69" t="s">
        <v>44</v>
      </c>
      <c r="D69">
        <v>0</v>
      </c>
      <c r="E69">
        <v>2</v>
      </c>
      <c r="F69">
        <v>1</v>
      </c>
      <c r="G69">
        <v>2</v>
      </c>
      <c r="H69">
        <v>1</v>
      </c>
      <c r="I69">
        <v>2</v>
      </c>
      <c r="J69">
        <v>1</v>
      </c>
      <c r="K69">
        <v>2</v>
      </c>
      <c r="L69">
        <v>1</v>
      </c>
      <c r="M69">
        <v>0</v>
      </c>
      <c r="N69">
        <v>1</v>
      </c>
      <c r="O69">
        <v>2</v>
      </c>
      <c r="P69">
        <v>1</v>
      </c>
      <c r="Q69">
        <v>5</v>
      </c>
      <c r="R69">
        <v>6</v>
      </c>
      <c r="S69">
        <v>2</v>
      </c>
      <c r="T69">
        <v>0</v>
      </c>
      <c r="V69" t="b">
        <f t="shared" si="13"/>
        <v>1</v>
      </c>
      <c r="W69" t="b">
        <f t="shared" si="14"/>
        <v>1</v>
      </c>
      <c r="X69" t="b">
        <f t="shared" si="15"/>
        <v>1</v>
      </c>
      <c r="Y69" t="b">
        <f t="shared" si="16"/>
        <v>1</v>
      </c>
      <c r="Z69" t="b">
        <f t="shared" si="17"/>
        <v>1</v>
      </c>
      <c r="AA69" t="b">
        <f t="shared" si="18"/>
        <v>0</v>
      </c>
      <c r="AB69" t="b">
        <f t="shared" si="19"/>
        <v>0</v>
      </c>
      <c r="AC69" t="b">
        <f t="shared" si="20"/>
        <v>0</v>
      </c>
      <c r="AD69" t="b">
        <f t="shared" si="21"/>
        <v>0</v>
      </c>
      <c r="AE69" t="b">
        <f t="shared" si="22"/>
        <v>0</v>
      </c>
      <c r="AF69" t="b">
        <f t="shared" si="23"/>
        <v>0</v>
      </c>
      <c r="AG69" t="b">
        <f t="shared" si="24"/>
        <v>0</v>
      </c>
      <c r="AH69" t="b">
        <f t="shared" si="25"/>
        <v>0</v>
      </c>
    </row>
    <row r="70" spans="1:34" x14ac:dyDescent="0.2">
      <c r="A70" t="s">
        <v>365</v>
      </c>
      <c r="B70" t="s">
        <v>84</v>
      </c>
      <c r="C70" t="s">
        <v>44</v>
      </c>
      <c r="D70">
        <v>2</v>
      </c>
      <c r="E70">
        <v>2</v>
      </c>
      <c r="F70">
        <v>2</v>
      </c>
      <c r="G70">
        <v>2</v>
      </c>
      <c r="H70">
        <v>2</v>
      </c>
      <c r="I70">
        <v>2</v>
      </c>
      <c r="J70">
        <v>1</v>
      </c>
      <c r="K70">
        <v>2</v>
      </c>
      <c r="L70">
        <v>1</v>
      </c>
      <c r="M70">
        <v>2</v>
      </c>
      <c r="N70">
        <v>2</v>
      </c>
      <c r="O70">
        <v>2</v>
      </c>
      <c r="P70">
        <v>2</v>
      </c>
      <c r="Q70">
        <v>11</v>
      </c>
      <c r="R70">
        <v>2</v>
      </c>
      <c r="S70">
        <v>0</v>
      </c>
      <c r="T70">
        <v>0</v>
      </c>
      <c r="V70" t="b">
        <f t="shared" si="13"/>
        <v>1</v>
      </c>
      <c r="W70" t="b">
        <f t="shared" si="14"/>
        <v>1</v>
      </c>
      <c r="X70" t="b">
        <f t="shared" si="15"/>
        <v>1</v>
      </c>
      <c r="Y70" t="b">
        <f t="shared" si="16"/>
        <v>1</v>
      </c>
      <c r="Z70" t="b">
        <f t="shared" si="17"/>
        <v>1</v>
      </c>
      <c r="AA70" t="b">
        <f t="shared" si="18"/>
        <v>1</v>
      </c>
      <c r="AB70" t="b">
        <f t="shared" si="19"/>
        <v>1</v>
      </c>
      <c r="AC70" t="b">
        <f t="shared" si="20"/>
        <v>1</v>
      </c>
      <c r="AD70" t="b">
        <f t="shared" si="21"/>
        <v>1</v>
      </c>
      <c r="AE70" t="b">
        <f t="shared" si="22"/>
        <v>1</v>
      </c>
      <c r="AF70" t="b">
        <f t="shared" si="23"/>
        <v>1</v>
      </c>
      <c r="AG70" t="b">
        <f t="shared" si="24"/>
        <v>0</v>
      </c>
      <c r="AH70" t="b">
        <f t="shared" si="25"/>
        <v>0</v>
      </c>
    </row>
    <row r="71" spans="1:34" x14ac:dyDescent="0.2">
      <c r="A71" t="s">
        <v>188</v>
      </c>
      <c r="B71" t="s">
        <v>84</v>
      </c>
      <c r="C71" t="s">
        <v>44</v>
      </c>
      <c r="D71">
        <v>2</v>
      </c>
      <c r="E71">
        <v>2</v>
      </c>
      <c r="F71">
        <v>2</v>
      </c>
      <c r="G71">
        <v>2</v>
      </c>
      <c r="H71">
        <v>2</v>
      </c>
      <c r="I71">
        <v>2</v>
      </c>
      <c r="J71">
        <v>1</v>
      </c>
      <c r="K71">
        <v>2</v>
      </c>
      <c r="L71">
        <v>1</v>
      </c>
      <c r="M71">
        <v>2</v>
      </c>
      <c r="N71">
        <v>2</v>
      </c>
      <c r="O71">
        <v>2</v>
      </c>
      <c r="P71">
        <v>2</v>
      </c>
      <c r="Q71">
        <v>11</v>
      </c>
      <c r="R71">
        <v>2</v>
      </c>
      <c r="S71">
        <v>0</v>
      </c>
      <c r="T71">
        <v>0</v>
      </c>
      <c r="V71" t="b">
        <f t="shared" si="13"/>
        <v>1</v>
      </c>
      <c r="W71" t="b">
        <f t="shared" si="14"/>
        <v>1</v>
      </c>
      <c r="X71" t="b">
        <f t="shared" si="15"/>
        <v>1</v>
      </c>
      <c r="Y71" t="b">
        <f t="shared" si="16"/>
        <v>1</v>
      </c>
      <c r="Z71" t="b">
        <f t="shared" si="17"/>
        <v>1</v>
      </c>
      <c r="AA71" t="b">
        <f t="shared" si="18"/>
        <v>1</v>
      </c>
      <c r="AB71" t="b">
        <f t="shared" si="19"/>
        <v>1</v>
      </c>
      <c r="AC71" t="b">
        <f t="shared" si="20"/>
        <v>1</v>
      </c>
      <c r="AD71" t="b">
        <f t="shared" si="21"/>
        <v>1</v>
      </c>
      <c r="AE71" t="b">
        <f t="shared" si="22"/>
        <v>1</v>
      </c>
      <c r="AF71" t="b">
        <f t="shared" si="23"/>
        <v>1</v>
      </c>
      <c r="AG71" t="b">
        <f t="shared" si="24"/>
        <v>0</v>
      </c>
      <c r="AH71" t="b">
        <f t="shared" si="25"/>
        <v>0</v>
      </c>
    </row>
    <row r="72" spans="1:34" x14ac:dyDescent="0.2">
      <c r="A72" t="s">
        <v>366</v>
      </c>
      <c r="B72" t="s">
        <v>92</v>
      </c>
      <c r="C72" t="s">
        <v>92</v>
      </c>
      <c r="D72">
        <v>1</v>
      </c>
      <c r="E72">
        <v>2</v>
      </c>
      <c r="F72">
        <v>1</v>
      </c>
      <c r="G72">
        <v>2</v>
      </c>
      <c r="H72">
        <v>2</v>
      </c>
      <c r="I72">
        <v>2</v>
      </c>
      <c r="J72">
        <v>1</v>
      </c>
      <c r="K72">
        <v>0</v>
      </c>
      <c r="L72">
        <v>2</v>
      </c>
      <c r="M72">
        <v>1</v>
      </c>
      <c r="O72">
        <v>2</v>
      </c>
      <c r="P72">
        <v>1</v>
      </c>
      <c r="Q72">
        <v>6</v>
      </c>
      <c r="R72">
        <v>5</v>
      </c>
      <c r="S72">
        <v>1</v>
      </c>
      <c r="T72">
        <v>1</v>
      </c>
      <c r="V72" t="b">
        <f t="shared" si="13"/>
        <v>1</v>
      </c>
      <c r="W72" t="b">
        <f t="shared" si="14"/>
        <v>1</v>
      </c>
      <c r="X72" t="b">
        <f t="shared" si="15"/>
        <v>1</v>
      </c>
      <c r="Y72" t="b">
        <f t="shared" si="16"/>
        <v>1</v>
      </c>
      <c r="Z72" t="b">
        <f t="shared" si="17"/>
        <v>1</v>
      </c>
      <c r="AA72" t="b">
        <f t="shared" si="18"/>
        <v>1</v>
      </c>
      <c r="AB72" t="b">
        <f t="shared" si="19"/>
        <v>0</v>
      </c>
      <c r="AC72" t="b">
        <f t="shared" si="20"/>
        <v>0</v>
      </c>
      <c r="AD72" t="b">
        <f t="shared" si="21"/>
        <v>0</v>
      </c>
      <c r="AE72" t="b">
        <f t="shared" si="22"/>
        <v>0</v>
      </c>
      <c r="AF72" t="b">
        <f t="shared" si="23"/>
        <v>0</v>
      </c>
      <c r="AG72" t="b">
        <f t="shared" si="24"/>
        <v>0</v>
      </c>
      <c r="AH72" t="b">
        <f t="shared" si="25"/>
        <v>0</v>
      </c>
    </row>
    <row r="73" spans="1:34" x14ac:dyDescent="0.2">
      <c r="A73" t="s">
        <v>367</v>
      </c>
      <c r="B73" t="s">
        <v>92</v>
      </c>
      <c r="C73" t="s">
        <v>92</v>
      </c>
      <c r="E73">
        <v>1</v>
      </c>
      <c r="F73">
        <v>1</v>
      </c>
      <c r="G73">
        <v>0</v>
      </c>
      <c r="H73">
        <v>0</v>
      </c>
      <c r="I73">
        <v>0</v>
      </c>
      <c r="J73">
        <v>1</v>
      </c>
      <c r="K73">
        <v>0</v>
      </c>
      <c r="M73">
        <v>2</v>
      </c>
      <c r="O73">
        <v>2</v>
      </c>
      <c r="P73">
        <v>0</v>
      </c>
      <c r="Q73">
        <v>2</v>
      </c>
      <c r="R73">
        <v>3</v>
      </c>
      <c r="S73">
        <v>5</v>
      </c>
      <c r="T73">
        <v>3</v>
      </c>
      <c r="V73" t="b">
        <f t="shared" si="13"/>
        <v>1</v>
      </c>
      <c r="W73" t="b">
        <f t="shared" si="14"/>
        <v>1</v>
      </c>
      <c r="X73" t="b">
        <f t="shared" si="15"/>
        <v>0</v>
      </c>
      <c r="Y73" t="b">
        <f t="shared" si="16"/>
        <v>0</v>
      </c>
      <c r="Z73" t="b">
        <f t="shared" si="17"/>
        <v>0</v>
      </c>
      <c r="AA73" t="b">
        <f t="shared" si="18"/>
        <v>0</v>
      </c>
      <c r="AB73" t="b">
        <f t="shared" si="19"/>
        <v>0</v>
      </c>
      <c r="AC73" t="b">
        <f t="shared" si="20"/>
        <v>0</v>
      </c>
      <c r="AD73" t="b">
        <f t="shared" si="21"/>
        <v>0</v>
      </c>
      <c r="AE73" t="b">
        <f t="shared" si="22"/>
        <v>0</v>
      </c>
      <c r="AF73" t="b">
        <f t="shared" si="23"/>
        <v>0</v>
      </c>
      <c r="AG73" t="b">
        <f t="shared" si="24"/>
        <v>0</v>
      </c>
      <c r="AH73" t="b">
        <f t="shared" si="25"/>
        <v>0</v>
      </c>
    </row>
    <row r="74" spans="1:34" x14ac:dyDescent="0.2">
      <c r="A74" t="s">
        <v>79</v>
      </c>
      <c r="B74" t="s">
        <v>92</v>
      </c>
      <c r="C74" t="s">
        <v>92</v>
      </c>
      <c r="D74">
        <v>2</v>
      </c>
      <c r="E74">
        <v>2</v>
      </c>
      <c r="F74">
        <v>2</v>
      </c>
      <c r="G74">
        <v>2</v>
      </c>
      <c r="H74">
        <v>2</v>
      </c>
      <c r="I74">
        <v>1</v>
      </c>
      <c r="J74">
        <v>2</v>
      </c>
      <c r="K74">
        <v>2</v>
      </c>
      <c r="L74">
        <v>1</v>
      </c>
      <c r="M74">
        <v>2</v>
      </c>
      <c r="N74">
        <v>2</v>
      </c>
      <c r="O74">
        <v>2</v>
      </c>
      <c r="P74">
        <v>2</v>
      </c>
      <c r="Q74">
        <v>11</v>
      </c>
      <c r="R74">
        <v>2</v>
      </c>
      <c r="S74">
        <v>0</v>
      </c>
      <c r="T74">
        <v>0</v>
      </c>
      <c r="V74" t="b">
        <f t="shared" si="13"/>
        <v>1</v>
      </c>
      <c r="W74" t="b">
        <f t="shared" si="14"/>
        <v>1</v>
      </c>
      <c r="X74" t="b">
        <f t="shared" si="15"/>
        <v>1</v>
      </c>
      <c r="Y74" t="b">
        <f t="shared" si="16"/>
        <v>1</v>
      </c>
      <c r="Z74" t="b">
        <f t="shared" si="17"/>
        <v>1</v>
      </c>
      <c r="AA74" t="b">
        <f t="shared" si="18"/>
        <v>1</v>
      </c>
      <c r="AB74" t="b">
        <f t="shared" si="19"/>
        <v>1</v>
      </c>
      <c r="AC74" t="b">
        <f t="shared" si="20"/>
        <v>1</v>
      </c>
      <c r="AD74" t="b">
        <f t="shared" si="21"/>
        <v>1</v>
      </c>
      <c r="AE74" t="b">
        <f t="shared" si="22"/>
        <v>1</v>
      </c>
      <c r="AF74" t="b">
        <f t="shared" si="23"/>
        <v>1</v>
      </c>
      <c r="AG74" t="b">
        <f t="shared" si="24"/>
        <v>0</v>
      </c>
      <c r="AH74" t="b">
        <f t="shared" si="25"/>
        <v>0</v>
      </c>
    </row>
    <row r="75" spans="1:34" x14ac:dyDescent="0.2">
      <c r="A75" t="s">
        <v>368</v>
      </c>
      <c r="B75" t="s">
        <v>92</v>
      </c>
      <c r="C75" t="s">
        <v>92</v>
      </c>
      <c r="D75">
        <v>1</v>
      </c>
      <c r="E75">
        <v>2</v>
      </c>
      <c r="F75">
        <v>2</v>
      </c>
      <c r="G75">
        <v>2</v>
      </c>
      <c r="H75">
        <v>2</v>
      </c>
      <c r="I75">
        <v>1</v>
      </c>
      <c r="J75">
        <v>1</v>
      </c>
      <c r="K75">
        <v>1</v>
      </c>
      <c r="L75">
        <v>2</v>
      </c>
      <c r="M75">
        <v>2</v>
      </c>
      <c r="N75">
        <v>0</v>
      </c>
      <c r="O75">
        <v>2</v>
      </c>
      <c r="P75">
        <v>1</v>
      </c>
      <c r="Q75">
        <v>7</v>
      </c>
      <c r="R75">
        <v>5</v>
      </c>
      <c r="S75">
        <v>1</v>
      </c>
      <c r="T75">
        <v>0</v>
      </c>
      <c r="V75" t="b">
        <f t="shared" si="13"/>
        <v>1</v>
      </c>
      <c r="W75" t="b">
        <f t="shared" si="14"/>
        <v>1</v>
      </c>
      <c r="X75" t="b">
        <f t="shared" si="15"/>
        <v>1</v>
      </c>
      <c r="Y75" t="b">
        <f t="shared" si="16"/>
        <v>1</v>
      </c>
      <c r="Z75" t="b">
        <f t="shared" si="17"/>
        <v>1</v>
      </c>
      <c r="AA75" t="b">
        <f t="shared" si="18"/>
        <v>1</v>
      </c>
      <c r="AB75" t="b">
        <f t="shared" si="19"/>
        <v>1</v>
      </c>
      <c r="AC75" t="b">
        <f t="shared" si="20"/>
        <v>0</v>
      </c>
      <c r="AD75" t="b">
        <f t="shared" si="21"/>
        <v>0</v>
      </c>
      <c r="AE75" t="b">
        <f t="shared" si="22"/>
        <v>0</v>
      </c>
      <c r="AF75" t="b">
        <f t="shared" si="23"/>
        <v>0</v>
      </c>
      <c r="AG75" t="b">
        <f t="shared" si="24"/>
        <v>0</v>
      </c>
      <c r="AH75" t="b">
        <f t="shared" si="25"/>
        <v>0</v>
      </c>
    </row>
    <row r="76" spans="1:34" x14ac:dyDescent="0.2">
      <c r="A76" t="s">
        <v>369</v>
      </c>
      <c r="B76" t="s">
        <v>92</v>
      </c>
      <c r="C76" t="s">
        <v>92</v>
      </c>
      <c r="E76">
        <v>2</v>
      </c>
      <c r="F76">
        <v>2</v>
      </c>
      <c r="G76">
        <v>0</v>
      </c>
      <c r="H76">
        <v>0</v>
      </c>
      <c r="I76">
        <v>1</v>
      </c>
      <c r="J76">
        <v>1</v>
      </c>
      <c r="M76">
        <v>2</v>
      </c>
      <c r="N76">
        <v>0</v>
      </c>
      <c r="P76">
        <v>0</v>
      </c>
      <c r="Q76">
        <v>3</v>
      </c>
      <c r="R76">
        <v>2</v>
      </c>
      <c r="S76">
        <v>4</v>
      </c>
      <c r="T76">
        <v>4</v>
      </c>
      <c r="V76" t="b">
        <f t="shared" si="13"/>
        <v>1</v>
      </c>
      <c r="W76" t="b">
        <f t="shared" si="14"/>
        <v>1</v>
      </c>
      <c r="X76" t="b">
        <f t="shared" si="15"/>
        <v>1</v>
      </c>
      <c r="Y76" t="b">
        <f t="shared" si="16"/>
        <v>0</v>
      </c>
      <c r="Z76" t="b">
        <f t="shared" si="17"/>
        <v>0</v>
      </c>
      <c r="AA76" t="b">
        <f t="shared" si="18"/>
        <v>0</v>
      </c>
      <c r="AB76" t="b">
        <f t="shared" si="19"/>
        <v>0</v>
      </c>
      <c r="AC76" t="b">
        <f t="shared" si="20"/>
        <v>0</v>
      </c>
      <c r="AD76" t="b">
        <f t="shared" si="21"/>
        <v>0</v>
      </c>
      <c r="AE76" t="b">
        <f t="shared" si="22"/>
        <v>0</v>
      </c>
      <c r="AF76" t="b">
        <f t="shared" si="23"/>
        <v>0</v>
      </c>
      <c r="AG76" t="b">
        <f t="shared" si="24"/>
        <v>0</v>
      </c>
      <c r="AH76" t="b">
        <f t="shared" si="25"/>
        <v>0</v>
      </c>
    </row>
    <row r="77" spans="1:34" x14ac:dyDescent="0.2">
      <c r="A77" t="s">
        <v>303</v>
      </c>
      <c r="B77" t="s">
        <v>370</v>
      </c>
      <c r="C77" t="s">
        <v>96</v>
      </c>
      <c r="D77">
        <v>1</v>
      </c>
      <c r="E77">
        <v>2</v>
      </c>
      <c r="F77">
        <v>2</v>
      </c>
      <c r="G77">
        <v>2</v>
      </c>
      <c r="H77">
        <v>1</v>
      </c>
      <c r="I77">
        <v>2</v>
      </c>
      <c r="J77">
        <v>1</v>
      </c>
      <c r="K77">
        <v>2</v>
      </c>
      <c r="L77">
        <v>1</v>
      </c>
      <c r="M77">
        <v>2</v>
      </c>
      <c r="N77">
        <v>1</v>
      </c>
      <c r="O77">
        <v>2</v>
      </c>
      <c r="P77">
        <v>2</v>
      </c>
      <c r="Q77">
        <v>8</v>
      </c>
      <c r="R77">
        <v>5</v>
      </c>
      <c r="S77">
        <v>0</v>
      </c>
      <c r="T77">
        <v>0</v>
      </c>
      <c r="V77" t="b">
        <f t="shared" si="13"/>
        <v>1</v>
      </c>
      <c r="W77" t="b">
        <f t="shared" si="14"/>
        <v>1</v>
      </c>
      <c r="X77" t="b">
        <f t="shared" si="15"/>
        <v>1</v>
      </c>
      <c r="Y77" t="b">
        <f t="shared" si="16"/>
        <v>1</v>
      </c>
      <c r="Z77" t="b">
        <f t="shared" si="17"/>
        <v>1</v>
      </c>
      <c r="AA77" t="b">
        <f t="shared" si="18"/>
        <v>1</v>
      </c>
      <c r="AB77" t="b">
        <f t="shared" si="19"/>
        <v>1</v>
      </c>
      <c r="AC77" t="b">
        <f t="shared" si="20"/>
        <v>1</v>
      </c>
      <c r="AD77" t="b">
        <f t="shared" si="21"/>
        <v>0</v>
      </c>
      <c r="AE77" t="b">
        <f t="shared" si="22"/>
        <v>0</v>
      </c>
      <c r="AF77" t="b">
        <f t="shared" si="23"/>
        <v>0</v>
      </c>
      <c r="AG77" t="b">
        <f t="shared" si="24"/>
        <v>0</v>
      </c>
      <c r="AH77" t="b">
        <f t="shared" si="25"/>
        <v>0</v>
      </c>
    </row>
    <row r="78" spans="1:34" x14ac:dyDescent="0.2">
      <c r="A78" t="s">
        <v>197</v>
      </c>
      <c r="B78" t="s">
        <v>370</v>
      </c>
      <c r="C78" t="s">
        <v>96</v>
      </c>
      <c r="D78">
        <v>1</v>
      </c>
      <c r="E78">
        <v>2</v>
      </c>
      <c r="F78">
        <v>2</v>
      </c>
      <c r="G78">
        <v>2</v>
      </c>
      <c r="H78">
        <v>1</v>
      </c>
      <c r="I78">
        <v>2</v>
      </c>
      <c r="J78">
        <v>1</v>
      </c>
      <c r="K78">
        <v>2</v>
      </c>
      <c r="L78">
        <v>1</v>
      </c>
      <c r="M78">
        <v>2</v>
      </c>
      <c r="N78">
        <v>0</v>
      </c>
      <c r="O78">
        <v>2</v>
      </c>
      <c r="P78">
        <v>0</v>
      </c>
      <c r="Q78">
        <v>7</v>
      </c>
      <c r="R78">
        <v>4</v>
      </c>
      <c r="S78">
        <v>2</v>
      </c>
      <c r="T78">
        <v>0</v>
      </c>
      <c r="V78" t="b">
        <f t="shared" si="13"/>
        <v>1</v>
      </c>
      <c r="W78" t="b">
        <f t="shared" si="14"/>
        <v>1</v>
      </c>
      <c r="X78" t="b">
        <f t="shared" si="15"/>
        <v>1</v>
      </c>
      <c r="Y78" t="b">
        <f t="shared" si="16"/>
        <v>1</v>
      </c>
      <c r="Z78" t="b">
        <f t="shared" si="17"/>
        <v>1</v>
      </c>
      <c r="AA78" t="b">
        <f t="shared" si="18"/>
        <v>1</v>
      </c>
      <c r="AB78" t="b">
        <f t="shared" si="19"/>
        <v>1</v>
      </c>
      <c r="AC78" t="b">
        <f t="shared" si="20"/>
        <v>0</v>
      </c>
      <c r="AD78" t="b">
        <f t="shared" si="21"/>
        <v>0</v>
      </c>
      <c r="AE78" t="b">
        <f t="shared" si="22"/>
        <v>0</v>
      </c>
      <c r="AF78" t="b">
        <f t="shared" si="23"/>
        <v>0</v>
      </c>
      <c r="AG78" t="b">
        <f t="shared" si="24"/>
        <v>0</v>
      </c>
      <c r="AH78" t="b">
        <f t="shared" si="25"/>
        <v>0</v>
      </c>
    </row>
    <row r="79" spans="1:34" x14ac:dyDescent="0.2">
      <c r="A79" t="s">
        <v>371</v>
      </c>
      <c r="B79" t="s">
        <v>98</v>
      </c>
      <c r="C79" t="s">
        <v>98</v>
      </c>
      <c r="D79">
        <v>2</v>
      </c>
      <c r="E79">
        <v>2</v>
      </c>
      <c r="F79">
        <v>2</v>
      </c>
      <c r="G79">
        <v>2</v>
      </c>
      <c r="H79">
        <v>2</v>
      </c>
      <c r="I79">
        <v>2</v>
      </c>
      <c r="J79">
        <v>1</v>
      </c>
      <c r="K79">
        <v>2</v>
      </c>
      <c r="L79">
        <v>1</v>
      </c>
      <c r="M79">
        <v>2</v>
      </c>
      <c r="N79">
        <v>1</v>
      </c>
      <c r="O79">
        <v>2</v>
      </c>
      <c r="P79">
        <v>2</v>
      </c>
      <c r="Q79">
        <v>10</v>
      </c>
      <c r="R79">
        <v>3</v>
      </c>
      <c r="S79">
        <v>0</v>
      </c>
      <c r="T79">
        <v>0</v>
      </c>
      <c r="V79" t="b">
        <f t="shared" si="13"/>
        <v>1</v>
      </c>
      <c r="W79" t="b">
        <f t="shared" si="14"/>
        <v>1</v>
      </c>
      <c r="X79" t="b">
        <f t="shared" si="15"/>
        <v>1</v>
      </c>
      <c r="Y79" t="b">
        <f t="shared" si="16"/>
        <v>1</v>
      </c>
      <c r="Z79" t="b">
        <f t="shared" si="17"/>
        <v>1</v>
      </c>
      <c r="AA79" t="b">
        <f t="shared" si="18"/>
        <v>1</v>
      </c>
      <c r="AB79" t="b">
        <f t="shared" si="19"/>
        <v>1</v>
      </c>
      <c r="AC79" t="b">
        <f t="shared" si="20"/>
        <v>1</v>
      </c>
      <c r="AD79" t="b">
        <f t="shared" si="21"/>
        <v>1</v>
      </c>
      <c r="AE79" t="b">
        <f t="shared" si="22"/>
        <v>1</v>
      </c>
      <c r="AF79" t="b">
        <f t="shared" si="23"/>
        <v>0</v>
      </c>
      <c r="AG79" t="b">
        <f t="shared" si="24"/>
        <v>0</v>
      </c>
      <c r="AH79" t="b">
        <f t="shared" si="25"/>
        <v>0</v>
      </c>
    </row>
    <row r="80" spans="1:34" x14ac:dyDescent="0.2">
      <c r="A80" t="s">
        <v>372</v>
      </c>
      <c r="B80" t="s">
        <v>98</v>
      </c>
      <c r="C80" t="s">
        <v>98</v>
      </c>
      <c r="D80">
        <v>2</v>
      </c>
      <c r="E80">
        <v>1</v>
      </c>
      <c r="F80">
        <v>2</v>
      </c>
      <c r="G80">
        <v>2</v>
      </c>
      <c r="H80">
        <v>2</v>
      </c>
      <c r="I80">
        <v>2</v>
      </c>
      <c r="J80">
        <v>2</v>
      </c>
      <c r="K80">
        <v>2</v>
      </c>
      <c r="L80">
        <v>1</v>
      </c>
      <c r="M80">
        <v>2</v>
      </c>
      <c r="N80">
        <v>1</v>
      </c>
      <c r="O80">
        <v>2</v>
      </c>
      <c r="P80">
        <v>2</v>
      </c>
      <c r="Q80">
        <v>10</v>
      </c>
      <c r="R80">
        <v>3</v>
      </c>
      <c r="S80">
        <v>0</v>
      </c>
      <c r="T80">
        <v>0</v>
      </c>
      <c r="V80" t="b">
        <f t="shared" si="13"/>
        <v>1</v>
      </c>
      <c r="W80" t="b">
        <f t="shared" si="14"/>
        <v>1</v>
      </c>
      <c r="X80" t="b">
        <f t="shared" si="15"/>
        <v>1</v>
      </c>
      <c r="Y80" t="b">
        <f t="shared" si="16"/>
        <v>1</v>
      </c>
      <c r="Z80" t="b">
        <f t="shared" si="17"/>
        <v>1</v>
      </c>
      <c r="AA80" t="b">
        <f t="shared" si="18"/>
        <v>1</v>
      </c>
      <c r="AB80" t="b">
        <f t="shared" si="19"/>
        <v>1</v>
      </c>
      <c r="AC80" t="b">
        <f t="shared" si="20"/>
        <v>1</v>
      </c>
      <c r="AD80" t="b">
        <f t="shared" si="21"/>
        <v>1</v>
      </c>
      <c r="AE80" t="b">
        <f t="shared" si="22"/>
        <v>1</v>
      </c>
      <c r="AF80" t="b">
        <f t="shared" si="23"/>
        <v>0</v>
      </c>
      <c r="AG80" t="b">
        <f t="shared" si="24"/>
        <v>0</v>
      </c>
      <c r="AH80" t="b">
        <f t="shared" si="25"/>
        <v>0</v>
      </c>
    </row>
    <row r="81" spans="1:34" x14ac:dyDescent="0.2">
      <c r="A81" t="s">
        <v>373</v>
      </c>
      <c r="B81" t="s">
        <v>98</v>
      </c>
      <c r="C81" t="s">
        <v>98</v>
      </c>
      <c r="D81">
        <v>2</v>
      </c>
      <c r="E81">
        <v>1</v>
      </c>
      <c r="F81">
        <v>2</v>
      </c>
      <c r="G81">
        <v>2</v>
      </c>
      <c r="H81">
        <v>2</v>
      </c>
      <c r="I81">
        <v>2</v>
      </c>
      <c r="J81">
        <v>1</v>
      </c>
      <c r="K81">
        <v>2</v>
      </c>
      <c r="L81">
        <v>1</v>
      </c>
      <c r="M81">
        <v>1</v>
      </c>
      <c r="N81">
        <v>1</v>
      </c>
      <c r="O81">
        <v>2</v>
      </c>
      <c r="P81">
        <v>2</v>
      </c>
      <c r="Q81">
        <v>8</v>
      </c>
      <c r="R81">
        <v>5</v>
      </c>
      <c r="S81">
        <v>0</v>
      </c>
      <c r="T81">
        <v>0</v>
      </c>
      <c r="V81" t="b">
        <f t="shared" si="13"/>
        <v>1</v>
      </c>
      <c r="W81" t="b">
        <f t="shared" si="14"/>
        <v>1</v>
      </c>
      <c r="X81" t="b">
        <f t="shared" si="15"/>
        <v>1</v>
      </c>
      <c r="Y81" t="b">
        <f t="shared" si="16"/>
        <v>1</v>
      </c>
      <c r="Z81" t="b">
        <f t="shared" si="17"/>
        <v>1</v>
      </c>
      <c r="AA81" t="b">
        <f t="shared" si="18"/>
        <v>1</v>
      </c>
      <c r="AB81" t="b">
        <f t="shared" si="19"/>
        <v>1</v>
      </c>
      <c r="AC81" t="b">
        <f t="shared" si="20"/>
        <v>1</v>
      </c>
      <c r="AD81" t="b">
        <f t="shared" si="21"/>
        <v>0</v>
      </c>
      <c r="AE81" t="b">
        <f t="shared" si="22"/>
        <v>0</v>
      </c>
      <c r="AF81" t="b">
        <f t="shared" si="23"/>
        <v>0</v>
      </c>
      <c r="AG81" t="b">
        <f t="shared" si="24"/>
        <v>0</v>
      </c>
      <c r="AH81" t="b">
        <f t="shared" si="25"/>
        <v>0</v>
      </c>
    </row>
    <row r="82" spans="1:34" x14ac:dyDescent="0.2">
      <c r="V82">
        <f>COUNTIF(V2:V81,TRUE)</f>
        <v>78</v>
      </c>
      <c r="W82">
        <f t="shared" ref="W82:AC82" si="26">COUNTIF(W2:W81,TRUE)</f>
        <v>76</v>
      </c>
      <c r="X82">
        <f t="shared" si="26"/>
        <v>72</v>
      </c>
      <c r="Y82">
        <f t="shared" si="26"/>
        <v>67</v>
      </c>
      <c r="Z82">
        <f t="shared" si="26"/>
        <v>53</v>
      </c>
      <c r="AA82">
        <f t="shared" si="26"/>
        <v>35</v>
      </c>
      <c r="AB82">
        <f t="shared" si="26"/>
        <v>23</v>
      </c>
      <c r="AC82">
        <f t="shared" si="26"/>
        <v>20</v>
      </c>
      <c r="AD82">
        <f t="shared" ref="AD82" si="27">COUNTIF(AD2:AD81,TRUE)</f>
        <v>14</v>
      </c>
      <c r="AE82">
        <f t="shared" ref="AE82" si="28">COUNTIF(AE2:AE81,TRUE)</f>
        <v>12</v>
      </c>
      <c r="AF82">
        <f t="shared" ref="AF82" si="29">COUNTIF(AF2:AF81,TRUE)</f>
        <v>5</v>
      </c>
      <c r="AG82">
        <f t="shared" ref="AG82" si="30">COUNTIF(AG2:AG81,TRUE)</f>
        <v>1</v>
      </c>
      <c r="AH82">
        <f t="shared" ref="AH82" si="31">COUNTIF(AH2:AH81,TRUE)</f>
        <v>0</v>
      </c>
    </row>
    <row r="83" spans="1:34" x14ac:dyDescent="0.2">
      <c r="V83" s="7">
        <f>V82/80</f>
        <v>0.97499999999999998</v>
      </c>
      <c r="W83" s="7">
        <f t="shared" ref="W83:AC83" si="32">W82/80</f>
        <v>0.95</v>
      </c>
      <c r="X83" s="7">
        <f t="shared" si="32"/>
        <v>0.9</v>
      </c>
      <c r="Y83" s="7">
        <f t="shared" si="32"/>
        <v>0.83750000000000002</v>
      </c>
      <c r="Z83" s="7">
        <f t="shared" si="32"/>
        <v>0.66249999999999998</v>
      </c>
      <c r="AA83" s="7">
        <f t="shared" si="32"/>
        <v>0.4375</v>
      </c>
      <c r="AB83" s="7">
        <f t="shared" si="32"/>
        <v>0.28749999999999998</v>
      </c>
      <c r="AC83" s="7">
        <f t="shared" si="32"/>
        <v>0.25</v>
      </c>
      <c r="AD83" s="7">
        <f t="shared" ref="AD83" si="33">AD82/80</f>
        <v>0.17499999999999999</v>
      </c>
      <c r="AE83" s="7">
        <f t="shared" ref="AE83" si="34">AE82/80</f>
        <v>0.15</v>
      </c>
      <c r="AF83" s="7">
        <f t="shared" ref="AF83" si="35">AF82/80</f>
        <v>6.25E-2</v>
      </c>
      <c r="AG83" s="7">
        <f t="shared" ref="AG83" si="36">AG82/80</f>
        <v>1.2500000000000001E-2</v>
      </c>
      <c r="AH83" s="7">
        <f t="shared" ref="AH83" si="37">AH82/80</f>
        <v>0</v>
      </c>
    </row>
  </sheetData>
  <phoneticPr fontId="4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H48"/>
  <sheetViews>
    <sheetView zoomScale="85" zoomScaleNormal="85" workbookViewId="0">
      <selection activeCell="R27" sqref="A27:R29"/>
    </sheetView>
  </sheetViews>
  <sheetFormatPr defaultColWidth="9" defaultRowHeight="14.25" x14ac:dyDescent="0.2"/>
  <sheetData>
    <row r="1" spans="1:34" x14ac:dyDescent="0.2">
      <c r="A1" s="1" t="s">
        <v>1</v>
      </c>
      <c r="B1" s="1" t="s">
        <v>2</v>
      </c>
      <c r="C1" s="1" t="s">
        <v>3</v>
      </c>
      <c r="D1" s="1" t="s">
        <v>400</v>
      </c>
      <c r="E1" s="2" t="s">
        <v>401</v>
      </c>
      <c r="F1" s="2" t="s">
        <v>402</v>
      </c>
      <c r="G1" s="2" t="s">
        <v>403</v>
      </c>
      <c r="H1" s="2" t="s">
        <v>404</v>
      </c>
      <c r="I1" s="2" t="s">
        <v>405</v>
      </c>
      <c r="J1" s="2" t="s">
        <v>406</v>
      </c>
      <c r="K1" s="3" t="s">
        <v>407</v>
      </c>
      <c r="L1" s="2" t="s">
        <v>408</v>
      </c>
      <c r="M1" s="2" t="s">
        <v>409</v>
      </c>
      <c r="N1" s="2" t="s">
        <v>410</v>
      </c>
      <c r="O1" s="2" t="s">
        <v>411</v>
      </c>
      <c r="P1" s="2" t="s">
        <v>412</v>
      </c>
      <c r="Q1" t="s">
        <v>17</v>
      </c>
      <c r="R1" t="s">
        <v>18</v>
      </c>
      <c r="S1" s="4" t="s">
        <v>19</v>
      </c>
      <c r="T1" s="5" t="s">
        <v>20</v>
      </c>
      <c r="U1" s="2"/>
      <c r="V1" s="6" t="s">
        <v>22</v>
      </c>
      <c r="W1" s="6" t="s">
        <v>23</v>
      </c>
      <c r="X1" s="6" t="s">
        <v>24</v>
      </c>
      <c r="Y1" s="6" t="s">
        <v>25</v>
      </c>
      <c r="Z1" s="6" t="s">
        <v>26</v>
      </c>
      <c r="AA1" s="6" t="s">
        <v>27</v>
      </c>
      <c r="AB1" s="6" t="s">
        <v>28</v>
      </c>
      <c r="AC1" s="6" t="s">
        <v>29</v>
      </c>
      <c r="AD1" s="6" t="s">
        <v>30</v>
      </c>
      <c r="AE1" s="6" t="s">
        <v>31</v>
      </c>
      <c r="AF1" s="6" t="s">
        <v>32</v>
      </c>
      <c r="AG1" s="6" t="s">
        <v>33</v>
      </c>
      <c r="AH1" s="6" t="s">
        <v>34</v>
      </c>
    </row>
    <row r="2" spans="1:34" x14ac:dyDescent="0.2">
      <c r="A2" t="s">
        <v>35</v>
      </c>
      <c r="B2" t="s">
        <v>36</v>
      </c>
      <c r="C2" t="s">
        <v>36</v>
      </c>
      <c r="D2">
        <v>2</v>
      </c>
      <c r="E2">
        <v>0</v>
      </c>
      <c r="F2">
        <v>2</v>
      </c>
      <c r="G2">
        <v>2</v>
      </c>
      <c r="H2">
        <v>2</v>
      </c>
      <c r="I2">
        <v>1</v>
      </c>
      <c r="J2">
        <v>2</v>
      </c>
      <c r="K2">
        <v>2</v>
      </c>
      <c r="L2">
        <v>1</v>
      </c>
      <c r="M2">
        <v>2</v>
      </c>
      <c r="N2">
        <v>2</v>
      </c>
      <c r="O2">
        <v>2</v>
      </c>
      <c r="P2">
        <v>2</v>
      </c>
      <c r="Q2">
        <v>10</v>
      </c>
      <c r="R2">
        <v>2</v>
      </c>
      <c r="S2">
        <v>1</v>
      </c>
      <c r="T2">
        <v>0</v>
      </c>
      <c r="V2" t="b">
        <f>Q2&gt;=1</f>
        <v>1</v>
      </c>
      <c r="W2" t="b">
        <f>Q2&gt;=2</f>
        <v>1</v>
      </c>
      <c r="X2" t="b">
        <f>Q2&gt;=3</f>
        <v>1</v>
      </c>
      <c r="Y2" t="b">
        <f>Q2&gt;=4</f>
        <v>1</v>
      </c>
      <c r="Z2" t="b">
        <f>Q2&gt;=5</f>
        <v>1</v>
      </c>
      <c r="AA2" t="b">
        <f>Q2&gt;=6</f>
        <v>1</v>
      </c>
      <c r="AB2" t="b">
        <f>Q2&gt;=7</f>
        <v>1</v>
      </c>
      <c r="AC2" t="b">
        <f>Q2&gt;=8</f>
        <v>1</v>
      </c>
      <c r="AD2" t="b">
        <f>Q2&gt;=9</f>
        <v>1</v>
      </c>
      <c r="AE2" t="b">
        <f>Q2&gt;=10</f>
        <v>1</v>
      </c>
      <c r="AF2" t="b">
        <f>Q2&gt;=11</f>
        <v>0</v>
      </c>
      <c r="AG2" t="b">
        <f>Q2&gt;=12</f>
        <v>0</v>
      </c>
      <c r="AH2" t="b">
        <f>Q2&gt;=13</f>
        <v>0</v>
      </c>
    </row>
    <row r="3" spans="1:34" x14ac:dyDescent="0.2">
      <c r="A3" t="s">
        <v>37</v>
      </c>
      <c r="B3" t="s">
        <v>36</v>
      </c>
      <c r="C3" t="s">
        <v>36</v>
      </c>
      <c r="E3">
        <v>0</v>
      </c>
      <c r="F3">
        <v>1</v>
      </c>
      <c r="G3">
        <v>0</v>
      </c>
      <c r="H3">
        <v>2</v>
      </c>
      <c r="I3">
        <v>0</v>
      </c>
      <c r="J3">
        <v>2</v>
      </c>
      <c r="K3">
        <v>0</v>
      </c>
      <c r="L3">
        <v>2</v>
      </c>
      <c r="M3">
        <v>1</v>
      </c>
      <c r="N3">
        <v>0</v>
      </c>
      <c r="O3">
        <v>2</v>
      </c>
      <c r="P3">
        <v>0</v>
      </c>
      <c r="Q3">
        <v>4</v>
      </c>
      <c r="R3">
        <v>2</v>
      </c>
      <c r="S3">
        <v>6</v>
      </c>
      <c r="T3">
        <v>1</v>
      </c>
      <c r="V3" t="b">
        <f t="shared" ref="V3:V46" si="0">Q3&gt;=1</f>
        <v>1</v>
      </c>
      <c r="W3" t="b">
        <f t="shared" ref="W3:W46" si="1">Q3&gt;=2</f>
        <v>1</v>
      </c>
      <c r="X3" t="b">
        <f t="shared" ref="X3:X46" si="2">Q3&gt;=3</f>
        <v>1</v>
      </c>
      <c r="Y3" t="b">
        <f t="shared" ref="Y3:Y46" si="3">Q3&gt;=4</f>
        <v>1</v>
      </c>
      <c r="Z3" t="b">
        <f t="shared" ref="Z3:Z46" si="4">Q3&gt;=5</f>
        <v>0</v>
      </c>
      <c r="AA3" t="b">
        <f t="shared" ref="AA3:AA46" si="5">Q3&gt;=6</f>
        <v>0</v>
      </c>
      <c r="AB3" t="b">
        <f t="shared" ref="AB3:AB46" si="6">Q3&gt;=7</f>
        <v>0</v>
      </c>
      <c r="AC3" t="b">
        <f t="shared" ref="AC3:AC46" si="7">Q3&gt;=8</f>
        <v>0</v>
      </c>
      <c r="AD3" t="b">
        <f t="shared" ref="AD3:AD46" si="8">Q3&gt;=9</f>
        <v>0</v>
      </c>
      <c r="AE3" t="b">
        <f t="shared" ref="AE3:AE46" si="9">Q3&gt;=10</f>
        <v>0</v>
      </c>
      <c r="AF3" t="b">
        <f t="shared" ref="AF3:AF46" si="10">Q3&gt;=11</f>
        <v>0</v>
      </c>
      <c r="AG3" t="b">
        <f t="shared" ref="AG3:AG46" si="11">Q3&gt;=12</f>
        <v>0</v>
      </c>
      <c r="AH3" t="b">
        <f t="shared" ref="AH3:AH46" si="12">Q3&gt;=13</f>
        <v>0</v>
      </c>
    </row>
    <row r="4" spans="1:34" x14ac:dyDescent="0.2">
      <c r="A4" t="s">
        <v>38</v>
      </c>
      <c r="B4" t="s">
        <v>39</v>
      </c>
      <c r="C4" t="s">
        <v>39</v>
      </c>
      <c r="D4">
        <v>1</v>
      </c>
      <c r="E4">
        <v>0</v>
      </c>
      <c r="F4">
        <v>1</v>
      </c>
      <c r="G4">
        <v>0</v>
      </c>
      <c r="H4">
        <v>2</v>
      </c>
      <c r="I4">
        <v>0</v>
      </c>
      <c r="J4">
        <v>2</v>
      </c>
      <c r="K4">
        <v>0</v>
      </c>
      <c r="L4">
        <v>2</v>
      </c>
      <c r="M4">
        <v>1</v>
      </c>
      <c r="P4">
        <v>0</v>
      </c>
      <c r="Q4">
        <v>3</v>
      </c>
      <c r="R4">
        <v>3</v>
      </c>
      <c r="S4">
        <v>5</v>
      </c>
      <c r="T4">
        <v>2</v>
      </c>
      <c r="V4" t="b">
        <f t="shared" si="0"/>
        <v>1</v>
      </c>
      <c r="W4" t="b">
        <f t="shared" si="1"/>
        <v>1</v>
      </c>
      <c r="X4" t="b">
        <f t="shared" si="2"/>
        <v>1</v>
      </c>
      <c r="Y4" t="b">
        <f t="shared" si="3"/>
        <v>0</v>
      </c>
      <c r="Z4" t="b">
        <f t="shared" si="4"/>
        <v>0</v>
      </c>
      <c r="AA4" t="b">
        <f t="shared" si="5"/>
        <v>0</v>
      </c>
      <c r="AB4" t="b">
        <f t="shared" si="6"/>
        <v>0</v>
      </c>
      <c r="AC4" t="b">
        <f t="shared" si="7"/>
        <v>0</v>
      </c>
      <c r="AD4" t="b">
        <f t="shared" si="8"/>
        <v>0</v>
      </c>
      <c r="AE4" t="b">
        <f t="shared" si="9"/>
        <v>0</v>
      </c>
      <c r="AF4" t="b">
        <f t="shared" si="10"/>
        <v>0</v>
      </c>
      <c r="AG4" t="b">
        <f t="shared" si="11"/>
        <v>0</v>
      </c>
      <c r="AH4" t="b">
        <f t="shared" si="12"/>
        <v>0</v>
      </c>
    </row>
    <row r="5" spans="1:34" x14ac:dyDescent="0.2">
      <c r="A5" t="s">
        <v>40</v>
      </c>
      <c r="B5" t="s">
        <v>41</v>
      </c>
      <c r="C5" t="s">
        <v>41</v>
      </c>
      <c r="D5">
        <v>1</v>
      </c>
      <c r="E5">
        <v>0</v>
      </c>
      <c r="F5">
        <v>1</v>
      </c>
      <c r="G5">
        <v>2</v>
      </c>
      <c r="H5">
        <v>2</v>
      </c>
      <c r="I5">
        <v>1</v>
      </c>
      <c r="J5">
        <v>2</v>
      </c>
      <c r="K5">
        <v>1</v>
      </c>
      <c r="L5">
        <v>1</v>
      </c>
      <c r="M5">
        <v>2</v>
      </c>
      <c r="O5">
        <v>1</v>
      </c>
      <c r="P5">
        <v>1</v>
      </c>
      <c r="Q5">
        <v>4</v>
      </c>
      <c r="R5">
        <v>7</v>
      </c>
      <c r="S5">
        <v>1</v>
      </c>
      <c r="T5">
        <v>1</v>
      </c>
      <c r="V5" t="b">
        <f t="shared" si="0"/>
        <v>1</v>
      </c>
      <c r="W5" t="b">
        <f t="shared" si="1"/>
        <v>1</v>
      </c>
      <c r="X5" t="b">
        <f t="shared" si="2"/>
        <v>1</v>
      </c>
      <c r="Y5" t="b">
        <f t="shared" si="3"/>
        <v>1</v>
      </c>
      <c r="Z5" t="b">
        <f t="shared" si="4"/>
        <v>0</v>
      </c>
      <c r="AA5" t="b">
        <f t="shared" si="5"/>
        <v>0</v>
      </c>
      <c r="AB5" t="b">
        <f t="shared" si="6"/>
        <v>0</v>
      </c>
      <c r="AC5" t="b">
        <f t="shared" si="7"/>
        <v>0</v>
      </c>
      <c r="AD5" t="b">
        <f t="shared" si="8"/>
        <v>0</v>
      </c>
      <c r="AE5" t="b">
        <f t="shared" si="9"/>
        <v>0</v>
      </c>
      <c r="AF5" t="b">
        <f t="shared" si="10"/>
        <v>0</v>
      </c>
      <c r="AG5" t="b">
        <f t="shared" si="11"/>
        <v>0</v>
      </c>
      <c r="AH5" t="b">
        <f t="shared" si="12"/>
        <v>0</v>
      </c>
    </row>
    <row r="6" spans="1:34" x14ac:dyDescent="0.2">
      <c r="A6" t="s">
        <v>42</v>
      </c>
      <c r="B6" t="s">
        <v>43</v>
      </c>
      <c r="C6" t="s">
        <v>44</v>
      </c>
      <c r="D6">
        <v>2</v>
      </c>
      <c r="E6">
        <v>1</v>
      </c>
      <c r="F6">
        <v>2</v>
      </c>
      <c r="G6">
        <v>2</v>
      </c>
      <c r="H6">
        <v>2</v>
      </c>
      <c r="I6">
        <v>2</v>
      </c>
      <c r="J6">
        <v>2</v>
      </c>
      <c r="K6">
        <v>1</v>
      </c>
      <c r="L6">
        <v>1</v>
      </c>
      <c r="M6">
        <v>2</v>
      </c>
      <c r="N6">
        <v>1</v>
      </c>
      <c r="O6">
        <v>2</v>
      </c>
      <c r="P6">
        <v>2</v>
      </c>
      <c r="Q6">
        <v>9</v>
      </c>
      <c r="R6">
        <v>4</v>
      </c>
      <c r="S6">
        <v>0</v>
      </c>
      <c r="T6">
        <v>0</v>
      </c>
      <c r="V6" t="b">
        <f t="shared" si="0"/>
        <v>1</v>
      </c>
      <c r="W6" t="b">
        <f t="shared" si="1"/>
        <v>1</v>
      </c>
      <c r="X6" t="b">
        <f t="shared" si="2"/>
        <v>1</v>
      </c>
      <c r="Y6" t="b">
        <f t="shared" si="3"/>
        <v>1</v>
      </c>
      <c r="Z6" t="b">
        <f t="shared" si="4"/>
        <v>1</v>
      </c>
      <c r="AA6" t="b">
        <f t="shared" si="5"/>
        <v>1</v>
      </c>
      <c r="AB6" t="b">
        <f t="shared" si="6"/>
        <v>1</v>
      </c>
      <c r="AC6" t="b">
        <f t="shared" si="7"/>
        <v>1</v>
      </c>
      <c r="AD6" t="b">
        <f t="shared" si="8"/>
        <v>1</v>
      </c>
      <c r="AE6" t="b">
        <f t="shared" si="9"/>
        <v>0</v>
      </c>
      <c r="AF6" t="b">
        <f t="shared" si="10"/>
        <v>0</v>
      </c>
      <c r="AG6" t="b">
        <f t="shared" si="11"/>
        <v>0</v>
      </c>
      <c r="AH6" t="b">
        <f t="shared" si="12"/>
        <v>0</v>
      </c>
    </row>
    <row r="7" spans="1:34" x14ac:dyDescent="0.2">
      <c r="A7" t="s">
        <v>45</v>
      </c>
      <c r="B7" t="s">
        <v>43</v>
      </c>
      <c r="C7" t="s">
        <v>44</v>
      </c>
      <c r="D7">
        <v>1</v>
      </c>
      <c r="E7">
        <v>1</v>
      </c>
      <c r="F7">
        <v>1</v>
      </c>
      <c r="G7">
        <v>1</v>
      </c>
      <c r="H7">
        <v>0</v>
      </c>
      <c r="I7">
        <v>0</v>
      </c>
      <c r="J7">
        <v>1</v>
      </c>
      <c r="K7">
        <v>1</v>
      </c>
      <c r="L7">
        <v>1</v>
      </c>
      <c r="M7">
        <v>2</v>
      </c>
      <c r="O7">
        <v>0</v>
      </c>
      <c r="P7">
        <v>0</v>
      </c>
      <c r="Q7">
        <v>1</v>
      </c>
      <c r="R7">
        <v>7</v>
      </c>
      <c r="S7">
        <v>4</v>
      </c>
      <c r="T7">
        <v>1</v>
      </c>
      <c r="V7" t="b">
        <f t="shared" si="0"/>
        <v>1</v>
      </c>
      <c r="W7" t="b">
        <f t="shared" si="1"/>
        <v>0</v>
      </c>
      <c r="X7" t="b">
        <f t="shared" si="2"/>
        <v>0</v>
      </c>
      <c r="Y7" t="b">
        <f t="shared" si="3"/>
        <v>0</v>
      </c>
      <c r="Z7" t="b">
        <f t="shared" si="4"/>
        <v>0</v>
      </c>
      <c r="AA7" t="b">
        <f t="shared" si="5"/>
        <v>0</v>
      </c>
      <c r="AB7" t="b">
        <f t="shared" si="6"/>
        <v>0</v>
      </c>
      <c r="AC7" t="b">
        <f t="shared" si="7"/>
        <v>0</v>
      </c>
      <c r="AD7" t="b">
        <f t="shared" si="8"/>
        <v>0</v>
      </c>
      <c r="AE7" t="b">
        <f t="shared" si="9"/>
        <v>0</v>
      </c>
      <c r="AF7" t="b">
        <f t="shared" si="10"/>
        <v>0</v>
      </c>
      <c r="AG7" t="b">
        <f t="shared" si="11"/>
        <v>0</v>
      </c>
      <c r="AH7" t="b">
        <f t="shared" si="12"/>
        <v>0</v>
      </c>
    </row>
    <row r="8" spans="1:34" x14ac:dyDescent="0.2">
      <c r="A8" t="s">
        <v>46</v>
      </c>
      <c r="B8" t="s">
        <v>47</v>
      </c>
      <c r="C8" t="s">
        <v>47</v>
      </c>
      <c r="D8">
        <v>1</v>
      </c>
      <c r="E8">
        <v>1</v>
      </c>
      <c r="F8">
        <v>2</v>
      </c>
      <c r="G8">
        <v>2</v>
      </c>
      <c r="H8">
        <v>1</v>
      </c>
      <c r="I8">
        <v>2</v>
      </c>
      <c r="J8">
        <v>1</v>
      </c>
      <c r="K8">
        <v>2</v>
      </c>
      <c r="L8">
        <v>1</v>
      </c>
      <c r="M8">
        <v>2</v>
      </c>
      <c r="N8">
        <v>1</v>
      </c>
      <c r="O8">
        <v>1</v>
      </c>
      <c r="P8">
        <v>1</v>
      </c>
      <c r="Q8">
        <v>5</v>
      </c>
      <c r="R8">
        <v>8</v>
      </c>
      <c r="S8">
        <v>0</v>
      </c>
      <c r="T8">
        <v>0</v>
      </c>
      <c r="V8" t="b">
        <f t="shared" si="0"/>
        <v>1</v>
      </c>
      <c r="W8" t="b">
        <f t="shared" si="1"/>
        <v>1</v>
      </c>
      <c r="X8" t="b">
        <f t="shared" si="2"/>
        <v>1</v>
      </c>
      <c r="Y8" t="b">
        <f t="shared" si="3"/>
        <v>1</v>
      </c>
      <c r="Z8" t="b">
        <f t="shared" si="4"/>
        <v>1</v>
      </c>
      <c r="AA8" t="b">
        <f t="shared" si="5"/>
        <v>0</v>
      </c>
      <c r="AB8" t="b">
        <f t="shared" si="6"/>
        <v>0</v>
      </c>
      <c r="AC8" t="b">
        <f t="shared" si="7"/>
        <v>0</v>
      </c>
      <c r="AD8" t="b">
        <f t="shared" si="8"/>
        <v>0</v>
      </c>
      <c r="AE8" t="b">
        <f t="shared" si="9"/>
        <v>0</v>
      </c>
      <c r="AF8" t="b">
        <f t="shared" si="10"/>
        <v>0</v>
      </c>
      <c r="AG8" t="b">
        <f t="shared" si="11"/>
        <v>0</v>
      </c>
      <c r="AH8" t="b">
        <f t="shared" si="12"/>
        <v>0</v>
      </c>
    </row>
    <row r="9" spans="1:34" x14ac:dyDescent="0.2">
      <c r="A9" t="s">
        <v>48</v>
      </c>
      <c r="B9" t="s">
        <v>47</v>
      </c>
      <c r="C9" t="s">
        <v>47</v>
      </c>
      <c r="D9">
        <v>0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</v>
      </c>
      <c r="R9">
        <v>0</v>
      </c>
      <c r="S9">
        <v>12</v>
      </c>
      <c r="T9">
        <v>0</v>
      </c>
      <c r="V9" t="b">
        <f t="shared" si="0"/>
        <v>1</v>
      </c>
      <c r="W9" t="b">
        <f t="shared" si="1"/>
        <v>0</v>
      </c>
      <c r="X9" t="b">
        <f t="shared" si="2"/>
        <v>0</v>
      </c>
      <c r="Y9" t="b">
        <f t="shared" si="3"/>
        <v>0</v>
      </c>
      <c r="Z9" t="b">
        <f t="shared" si="4"/>
        <v>0</v>
      </c>
      <c r="AA9" t="b">
        <f t="shared" si="5"/>
        <v>0</v>
      </c>
      <c r="AB9" t="b">
        <f t="shared" si="6"/>
        <v>0</v>
      </c>
      <c r="AC9" t="b">
        <f t="shared" si="7"/>
        <v>0</v>
      </c>
      <c r="AD9" t="b">
        <f t="shared" si="8"/>
        <v>0</v>
      </c>
      <c r="AE9" t="b">
        <f t="shared" si="9"/>
        <v>0</v>
      </c>
      <c r="AF9" t="b">
        <f t="shared" si="10"/>
        <v>0</v>
      </c>
      <c r="AG9" t="b">
        <f t="shared" si="11"/>
        <v>0</v>
      </c>
      <c r="AH9" t="b">
        <f t="shared" si="12"/>
        <v>0</v>
      </c>
    </row>
    <row r="10" spans="1:34" x14ac:dyDescent="0.2">
      <c r="A10" t="s">
        <v>40</v>
      </c>
      <c r="B10" t="s">
        <v>49</v>
      </c>
      <c r="C10" t="s">
        <v>49</v>
      </c>
      <c r="D10">
        <v>1</v>
      </c>
      <c r="E10">
        <v>0</v>
      </c>
      <c r="F10">
        <v>1</v>
      </c>
      <c r="G10">
        <v>1</v>
      </c>
      <c r="H10">
        <v>1</v>
      </c>
      <c r="I10">
        <v>0</v>
      </c>
      <c r="J10">
        <v>2</v>
      </c>
      <c r="K10">
        <v>1</v>
      </c>
      <c r="L10">
        <v>2</v>
      </c>
      <c r="M10">
        <v>1</v>
      </c>
      <c r="N10">
        <v>1</v>
      </c>
      <c r="O10">
        <v>2</v>
      </c>
      <c r="P10">
        <v>1</v>
      </c>
      <c r="Q10">
        <v>3</v>
      </c>
      <c r="R10">
        <v>8</v>
      </c>
      <c r="S10">
        <v>2</v>
      </c>
      <c r="T10">
        <v>0</v>
      </c>
      <c r="V10" t="b">
        <f t="shared" si="0"/>
        <v>1</v>
      </c>
      <c r="W10" t="b">
        <f t="shared" si="1"/>
        <v>1</v>
      </c>
      <c r="X10" t="b">
        <f t="shared" si="2"/>
        <v>1</v>
      </c>
      <c r="Y10" t="b">
        <f t="shared" si="3"/>
        <v>0</v>
      </c>
      <c r="Z10" t="b">
        <f t="shared" si="4"/>
        <v>0</v>
      </c>
      <c r="AA10" t="b">
        <f t="shared" si="5"/>
        <v>0</v>
      </c>
      <c r="AB10" t="b">
        <f t="shared" si="6"/>
        <v>0</v>
      </c>
      <c r="AC10" t="b">
        <f t="shared" si="7"/>
        <v>0</v>
      </c>
      <c r="AD10" t="b">
        <f t="shared" si="8"/>
        <v>0</v>
      </c>
      <c r="AE10" t="b">
        <f t="shared" si="9"/>
        <v>0</v>
      </c>
      <c r="AF10" t="b">
        <f t="shared" si="10"/>
        <v>0</v>
      </c>
      <c r="AG10" t="b">
        <f t="shared" si="11"/>
        <v>0</v>
      </c>
      <c r="AH10" t="b">
        <f t="shared" si="12"/>
        <v>0</v>
      </c>
    </row>
    <row r="11" spans="1:34" x14ac:dyDescent="0.2">
      <c r="A11" t="s">
        <v>50</v>
      </c>
      <c r="B11" t="s">
        <v>51</v>
      </c>
      <c r="C11" t="s">
        <v>51</v>
      </c>
      <c r="D11">
        <v>1</v>
      </c>
      <c r="E11">
        <v>0</v>
      </c>
      <c r="F11">
        <v>1</v>
      </c>
      <c r="G11">
        <v>0</v>
      </c>
      <c r="H11">
        <v>1</v>
      </c>
      <c r="I11">
        <v>1</v>
      </c>
      <c r="J11">
        <v>1</v>
      </c>
      <c r="K11">
        <v>0</v>
      </c>
      <c r="L11">
        <v>1</v>
      </c>
      <c r="M11">
        <v>1</v>
      </c>
      <c r="O11">
        <v>2</v>
      </c>
      <c r="P11">
        <v>0</v>
      </c>
      <c r="Q11">
        <v>1</v>
      </c>
      <c r="R11">
        <v>7</v>
      </c>
      <c r="S11">
        <v>4</v>
      </c>
      <c r="T11">
        <v>1</v>
      </c>
      <c r="V11" t="b">
        <f t="shared" si="0"/>
        <v>1</v>
      </c>
      <c r="W11" t="b">
        <f t="shared" si="1"/>
        <v>0</v>
      </c>
      <c r="X11" t="b">
        <f t="shared" si="2"/>
        <v>0</v>
      </c>
      <c r="Y11" t="b">
        <f t="shared" si="3"/>
        <v>0</v>
      </c>
      <c r="Z11" t="b">
        <f t="shared" si="4"/>
        <v>0</v>
      </c>
      <c r="AA11" t="b">
        <f t="shared" si="5"/>
        <v>0</v>
      </c>
      <c r="AB11" t="b">
        <f t="shared" si="6"/>
        <v>0</v>
      </c>
      <c r="AC11" t="b">
        <f t="shared" si="7"/>
        <v>0</v>
      </c>
      <c r="AD11" t="b">
        <f t="shared" si="8"/>
        <v>0</v>
      </c>
      <c r="AE11" t="b">
        <f t="shared" si="9"/>
        <v>0</v>
      </c>
      <c r="AF11" t="b">
        <f t="shared" si="10"/>
        <v>0</v>
      </c>
      <c r="AG11" t="b">
        <f t="shared" si="11"/>
        <v>0</v>
      </c>
      <c r="AH11" t="b">
        <f t="shared" si="12"/>
        <v>0</v>
      </c>
    </row>
    <row r="12" spans="1:34" x14ac:dyDescent="0.2">
      <c r="A12" t="s">
        <v>52</v>
      </c>
      <c r="B12" t="s">
        <v>53</v>
      </c>
      <c r="C12" t="s">
        <v>53</v>
      </c>
      <c r="D12">
        <v>0</v>
      </c>
      <c r="E12">
        <v>2</v>
      </c>
      <c r="F12">
        <v>1</v>
      </c>
      <c r="G12">
        <v>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2</v>
      </c>
      <c r="R12">
        <v>2</v>
      </c>
      <c r="S12">
        <v>9</v>
      </c>
      <c r="T12">
        <v>0</v>
      </c>
      <c r="V12" t="b">
        <f t="shared" si="0"/>
        <v>1</v>
      </c>
      <c r="W12" t="b">
        <f t="shared" si="1"/>
        <v>1</v>
      </c>
      <c r="X12" t="b">
        <f t="shared" si="2"/>
        <v>0</v>
      </c>
      <c r="Y12" t="b">
        <f t="shared" si="3"/>
        <v>0</v>
      </c>
      <c r="Z12" t="b">
        <f t="shared" si="4"/>
        <v>0</v>
      </c>
      <c r="AA12" t="b">
        <f t="shared" si="5"/>
        <v>0</v>
      </c>
      <c r="AB12" t="b">
        <f t="shared" si="6"/>
        <v>0</v>
      </c>
      <c r="AC12" t="b">
        <f t="shared" si="7"/>
        <v>0</v>
      </c>
      <c r="AD12" t="b">
        <f t="shared" si="8"/>
        <v>0</v>
      </c>
      <c r="AE12" t="b">
        <f t="shared" si="9"/>
        <v>0</v>
      </c>
      <c r="AF12" t="b">
        <f t="shared" si="10"/>
        <v>0</v>
      </c>
      <c r="AG12" t="b">
        <f t="shared" si="11"/>
        <v>0</v>
      </c>
      <c r="AH12" t="b">
        <f t="shared" si="12"/>
        <v>0</v>
      </c>
    </row>
    <row r="13" spans="1:34" x14ac:dyDescent="0.2">
      <c r="A13" t="s">
        <v>54</v>
      </c>
      <c r="B13" t="s">
        <v>55</v>
      </c>
      <c r="C13" t="s">
        <v>55</v>
      </c>
      <c r="D13">
        <v>0</v>
      </c>
      <c r="E13">
        <v>2</v>
      </c>
      <c r="F13">
        <v>0</v>
      </c>
      <c r="G13">
        <v>1</v>
      </c>
      <c r="H13">
        <v>2</v>
      </c>
      <c r="I13">
        <v>0</v>
      </c>
      <c r="J13">
        <v>2</v>
      </c>
      <c r="K13">
        <v>0</v>
      </c>
      <c r="L13">
        <v>1</v>
      </c>
      <c r="M13">
        <v>1</v>
      </c>
      <c r="N13">
        <v>0</v>
      </c>
      <c r="O13">
        <v>1</v>
      </c>
      <c r="P13">
        <v>0</v>
      </c>
      <c r="Q13">
        <v>3</v>
      </c>
      <c r="R13">
        <v>4</v>
      </c>
      <c r="S13">
        <v>6</v>
      </c>
      <c r="T13">
        <v>0</v>
      </c>
      <c r="V13" t="b">
        <f t="shared" si="0"/>
        <v>1</v>
      </c>
      <c r="W13" t="b">
        <f t="shared" si="1"/>
        <v>1</v>
      </c>
      <c r="X13" t="b">
        <f t="shared" si="2"/>
        <v>1</v>
      </c>
      <c r="Y13" t="b">
        <f t="shared" si="3"/>
        <v>0</v>
      </c>
      <c r="Z13" t="b">
        <f t="shared" si="4"/>
        <v>0</v>
      </c>
      <c r="AA13" t="b">
        <f t="shared" si="5"/>
        <v>0</v>
      </c>
      <c r="AB13" t="b">
        <f t="shared" si="6"/>
        <v>0</v>
      </c>
      <c r="AC13" t="b">
        <f t="shared" si="7"/>
        <v>0</v>
      </c>
      <c r="AD13" t="b">
        <f t="shared" si="8"/>
        <v>0</v>
      </c>
      <c r="AE13" t="b">
        <f t="shared" si="9"/>
        <v>0</v>
      </c>
      <c r="AF13" t="b">
        <f t="shared" si="10"/>
        <v>0</v>
      </c>
      <c r="AG13" t="b">
        <f t="shared" si="11"/>
        <v>0</v>
      </c>
      <c r="AH13" t="b">
        <f t="shared" si="12"/>
        <v>0</v>
      </c>
    </row>
    <row r="14" spans="1:34" x14ac:dyDescent="0.2">
      <c r="A14" t="s">
        <v>56</v>
      </c>
      <c r="B14" t="s">
        <v>55</v>
      </c>
      <c r="C14" t="s">
        <v>55</v>
      </c>
      <c r="D14">
        <v>1</v>
      </c>
      <c r="E14">
        <v>0</v>
      </c>
      <c r="F14">
        <v>1</v>
      </c>
      <c r="G14">
        <v>0</v>
      </c>
      <c r="H14">
        <v>0</v>
      </c>
      <c r="I14">
        <v>0</v>
      </c>
      <c r="J14">
        <v>2</v>
      </c>
      <c r="K14">
        <v>0</v>
      </c>
      <c r="L14">
        <v>1</v>
      </c>
      <c r="M14">
        <v>1</v>
      </c>
      <c r="N14">
        <v>0</v>
      </c>
      <c r="O14">
        <v>1</v>
      </c>
      <c r="P14">
        <v>0</v>
      </c>
      <c r="Q14">
        <v>1</v>
      </c>
      <c r="R14">
        <v>5</v>
      </c>
      <c r="S14">
        <v>7</v>
      </c>
      <c r="T14">
        <v>0</v>
      </c>
      <c r="V14" t="b">
        <f t="shared" si="0"/>
        <v>1</v>
      </c>
      <c r="W14" t="b">
        <f t="shared" si="1"/>
        <v>0</v>
      </c>
      <c r="X14" t="b">
        <f t="shared" si="2"/>
        <v>0</v>
      </c>
      <c r="Y14" t="b">
        <f t="shared" si="3"/>
        <v>0</v>
      </c>
      <c r="Z14" t="b">
        <f t="shared" si="4"/>
        <v>0</v>
      </c>
      <c r="AA14" t="b">
        <f t="shared" si="5"/>
        <v>0</v>
      </c>
      <c r="AB14" t="b">
        <f t="shared" si="6"/>
        <v>0</v>
      </c>
      <c r="AC14" t="b">
        <f t="shared" si="7"/>
        <v>0</v>
      </c>
      <c r="AD14" t="b">
        <f t="shared" si="8"/>
        <v>0</v>
      </c>
      <c r="AE14" t="b">
        <f t="shared" si="9"/>
        <v>0</v>
      </c>
      <c r="AF14" t="b">
        <f t="shared" si="10"/>
        <v>0</v>
      </c>
      <c r="AG14" t="b">
        <f t="shared" si="11"/>
        <v>0</v>
      </c>
      <c r="AH14" t="b">
        <f t="shared" si="12"/>
        <v>0</v>
      </c>
    </row>
    <row r="15" spans="1:34" x14ac:dyDescent="0.2">
      <c r="A15" t="s">
        <v>57</v>
      </c>
      <c r="B15" t="s">
        <v>58</v>
      </c>
      <c r="C15" t="s">
        <v>58</v>
      </c>
      <c r="D15">
        <v>1</v>
      </c>
      <c r="E15">
        <v>1</v>
      </c>
      <c r="F15">
        <v>2</v>
      </c>
      <c r="G15">
        <v>1</v>
      </c>
      <c r="H15">
        <v>2</v>
      </c>
      <c r="I15">
        <v>1</v>
      </c>
      <c r="J15">
        <v>2</v>
      </c>
      <c r="K15">
        <v>1</v>
      </c>
      <c r="L15">
        <v>1</v>
      </c>
      <c r="M15">
        <v>2</v>
      </c>
      <c r="O15">
        <v>2</v>
      </c>
      <c r="P15">
        <v>0</v>
      </c>
      <c r="Q15">
        <v>5</v>
      </c>
      <c r="R15">
        <v>6</v>
      </c>
      <c r="S15">
        <v>1</v>
      </c>
      <c r="T15">
        <v>1</v>
      </c>
      <c r="V15" t="b">
        <f t="shared" si="0"/>
        <v>1</v>
      </c>
      <c r="W15" t="b">
        <f t="shared" si="1"/>
        <v>1</v>
      </c>
      <c r="X15" t="b">
        <f t="shared" si="2"/>
        <v>1</v>
      </c>
      <c r="Y15" t="b">
        <f t="shared" si="3"/>
        <v>1</v>
      </c>
      <c r="Z15" t="b">
        <f t="shared" si="4"/>
        <v>1</v>
      </c>
      <c r="AA15" t="b">
        <f t="shared" si="5"/>
        <v>0</v>
      </c>
      <c r="AB15" t="b">
        <f t="shared" si="6"/>
        <v>0</v>
      </c>
      <c r="AC15" t="b">
        <f t="shared" si="7"/>
        <v>0</v>
      </c>
      <c r="AD15" t="b">
        <f t="shared" si="8"/>
        <v>0</v>
      </c>
      <c r="AE15" t="b">
        <f t="shared" si="9"/>
        <v>0</v>
      </c>
      <c r="AF15" t="b">
        <f t="shared" si="10"/>
        <v>0</v>
      </c>
      <c r="AG15" t="b">
        <f t="shared" si="11"/>
        <v>0</v>
      </c>
      <c r="AH15" t="b">
        <f t="shared" si="12"/>
        <v>0</v>
      </c>
    </row>
    <row r="16" spans="1:34" x14ac:dyDescent="0.2">
      <c r="A16" t="s">
        <v>59</v>
      </c>
      <c r="B16" t="s">
        <v>58</v>
      </c>
      <c r="C16" t="s">
        <v>58</v>
      </c>
      <c r="D16">
        <v>0</v>
      </c>
      <c r="E16">
        <v>2</v>
      </c>
      <c r="F16">
        <v>2</v>
      </c>
      <c r="G16">
        <v>2</v>
      </c>
      <c r="H16">
        <v>2</v>
      </c>
      <c r="I16">
        <v>0</v>
      </c>
      <c r="J16">
        <v>1</v>
      </c>
      <c r="K16">
        <v>1</v>
      </c>
      <c r="L16">
        <v>1</v>
      </c>
      <c r="M16">
        <v>2</v>
      </c>
      <c r="N16">
        <v>1</v>
      </c>
      <c r="O16">
        <v>2</v>
      </c>
      <c r="P16">
        <v>0</v>
      </c>
      <c r="Q16">
        <v>6</v>
      </c>
      <c r="R16">
        <v>4</v>
      </c>
      <c r="S16">
        <v>3</v>
      </c>
      <c r="T16">
        <v>0</v>
      </c>
      <c r="V16" t="b">
        <f t="shared" si="0"/>
        <v>1</v>
      </c>
      <c r="W16" t="b">
        <f t="shared" si="1"/>
        <v>1</v>
      </c>
      <c r="X16" t="b">
        <f t="shared" si="2"/>
        <v>1</v>
      </c>
      <c r="Y16" t="b">
        <f t="shared" si="3"/>
        <v>1</v>
      </c>
      <c r="Z16" t="b">
        <f t="shared" si="4"/>
        <v>1</v>
      </c>
      <c r="AA16" t="b">
        <f t="shared" si="5"/>
        <v>1</v>
      </c>
      <c r="AB16" t="b">
        <f t="shared" si="6"/>
        <v>0</v>
      </c>
      <c r="AC16" t="b">
        <f t="shared" si="7"/>
        <v>0</v>
      </c>
      <c r="AD16" t="b">
        <f t="shared" si="8"/>
        <v>0</v>
      </c>
      <c r="AE16" t="b">
        <f t="shared" si="9"/>
        <v>0</v>
      </c>
      <c r="AF16" t="b">
        <f t="shared" si="10"/>
        <v>0</v>
      </c>
      <c r="AG16" t="b">
        <f t="shared" si="11"/>
        <v>0</v>
      </c>
      <c r="AH16" t="b">
        <f t="shared" si="12"/>
        <v>0</v>
      </c>
    </row>
    <row r="17" spans="1:34" x14ac:dyDescent="0.2">
      <c r="A17" t="s">
        <v>60</v>
      </c>
      <c r="B17" t="s">
        <v>61</v>
      </c>
      <c r="C17" t="s">
        <v>44</v>
      </c>
      <c r="D17">
        <v>1</v>
      </c>
      <c r="E17">
        <v>1</v>
      </c>
      <c r="F17">
        <v>2</v>
      </c>
      <c r="G17">
        <v>1</v>
      </c>
      <c r="H17">
        <v>2</v>
      </c>
      <c r="I17">
        <v>1</v>
      </c>
      <c r="J17">
        <v>0</v>
      </c>
      <c r="K17">
        <v>1</v>
      </c>
      <c r="L17">
        <v>1</v>
      </c>
      <c r="M17">
        <v>2</v>
      </c>
      <c r="N17">
        <v>2</v>
      </c>
      <c r="O17">
        <v>1</v>
      </c>
      <c r="P17">
        <v>0</v>
      </c>
      <c r="Q17">
        <v>4</v>
      </c>
      <c r="R17">
        <v>7</v>
      </c>
      <c r="S17">
        <v>2</v>
      </c>
      <c r="T17">
        <v>0</v>
      </c>
      <c r="V17" t="b">
        <f t="shared" si="0"/>
        <v>1</v>
      </c>
      <c r="W17" t="b">
        <f t="shared" si="1"/>
        <v>1</v>
      </c>
      <c r="X17" t="b">
        <f t="shared" si="2"/>
        <v>1</v>
      </c>
      <c r="Y17" t="b">
        <f t="shared" si="3"/>
        <v>1</v>
      </c>
      <c r="Z17" t="b">
        <f t="shared" si="4"/>
        <v>0</v>
      </c>
      <c r="AA17" t="b">
        <f t="shared" si="5"/>
        <v>0</v>
      </c>
      <c r="AB17" t="b">
        <f t="shared" si="6"/>
        <v>0</v>
      </c>
      <c r="AC17" t="b">
        <f t="shared" si="7"/>
        <v>0</v>
      </c>
      <c r="AD17" t="b">
        <f t="shared" si="8"/>
        <v>0</v>
      </c>
      <c r="AE17" t="b">
        <f t="shared" si="9"/>
        <v>0</v>
      </c>
      <c r="AF17" t="b">
        <f t="shared" si="10"/>
        <v>0</v>
      </c>
      <c r="AG17" t="b">
        <f t="shared" si="11"/>
        <v>0</v>
      </c>
      <c r="AH17" t="b">
        <f t="shared" si="12"/>
        <v>0</v>
      </c>
    </row>
    <row r="18" spans="1:34" x14ac:dyDescent="0.2">
      <c r="A18" t="s">
        <v>62</v>
      </c>
      <c r="B18" t="s">
        <v>61</v>
      </c>
      <c r="C18" t="s">
        <v>44</v>
      </c>
      <c r="D18">
        <v>2</v>
      </c>
      <c r="E18">
        <v>2</v>
      </c>
      <c r="F18">
        <v>2</v>
      </c>
      <c r="G18">
        <v>2</v>
      </c>
      <c r="H18">
        <v>2</v>
      </c>
      <c r="I18">
        <v>1</v>
      </c>
      <c r="J18">
        <v>2</v>
      </c>
      <c r="K18">
        <v>2</v>
      </c>
      <c r="L18">
        <v>1</v>
      </c>
      <c r="M18">
        <v>2</v>
      </c>
      <c r="N18">
        <v>1</v>
      </c>
      <c r="O18">
        <v>2</v>
      </c>
      <c r="P18">
        <v>2</v>
      </c>
      <c r="Q18">
        <v>10</v>
      </c>
      <c r="R18">
        <v>3</v>
      </c>
      <c r="S18">
        <v>0</v>
      </c>
      <c r="T18">
        <v>0</v>
      </c>
      <c r="V18" t="b">
        <f t="shared" si="0"/>
        <v>1</v>
      </c>
      <c r="W18" t="b">
        <f t="shared" si="1"/>
        <v>1</v>
      </c>
      <c r="X18" t="b">
        <f t="shared" si="2"/>
        <v>1</v>
      </c>
      <c r="Y18" t="b">
        <f t="shared" si="3"/>
        <v>1</v>
      </c>
      <c r="Z18" t="b">
        <f t="shared" si="4"/>
        <v>1</v>
      </c>
      <c r="AA18" t="b">
        <f t="shared" si="5"/>
        <v>1</v>
      </c>
      <c r="AB18" t="b">
        <f t="shared" si="6"/>
        <v>1</v>
      </c>
      <c r="AC18" t="b">
        <f t="shared" si="7"/>
        <v>1</v>
      </c>
      <c r="AD18" t="b">
        <f t="shared" si="8"/>
        <v>1</v>
      </c>
      <c r="AE18" t="b">
        <f t="shared" si="9"/>
        <v>1</v>
      </c>
      <c r="AF18" t="b">
        <f t="shared" si="10"/>
        <v>0</v>
      </c>
      <c r="AG18" t="b">
        <f t="shared" si="11"/>
        <v>0</v>
      </c>
      <c r="AH18" t="b">
        <f t="shared" si="12"/>
        <v>0</v>
      </c>
    </row>
    <row r="19" spans="1:34" x14ac:dyDescent="0.2">
      <c r="A19" t="s">
        <v>63</v>
      </c>
      <c r="B19" t="s">
        <v>61</v>
      </c>
      <c r="C19" t="s">
        <v>44</v>
      </c>
      <c r="D19">
        <v>1</v>
      </c>
      <c r="E19">
        <v>2</v>
      </c>
      <c r="F19">
        <v>1</v>
      </c>
      <c r="G19">
        <v>2</v>
      </c>
      <c r="H19">
        <v>0</v>
      </c>
      <c r="I19">
        <v>0</v>
      </c>
      <c r="J19">
        <v>1</v>
      </c>
      <c r="K19">
        <v>1</v>
      </c>
      <c r="L19">
        <v>1</v>
      </c>
      <c r="M19">
        <v>2</v>
      </c>
      <c r="N19">
        <v>1</v>
      </c>
      <c r="O19">
        <v>2</v>
      </c>
      <c r="P19">
        <v>2</v>
      </c>
      <c r="Q19">
        <v>5</v>
      </c>
      <c r="R19">
        <v>6</v>
      </c>
      <c r="S19">
        <v>2</v>
      </c>
      <c r="T19">
        <v>0</v>
      </c>
      <c r="V19" t="b">
        <f t="shared" si="0"/>
        <v>1</v>
      </c>
      <c r="W19" t="b">
        <f t="shared" si="1"/>
        <v>1</v>
      </c>
      <c r="X19" t="b">
        <f t="shared" si="2"/>
        <v>1</v>
      </c>
      <c r="Y19" t="b">
        <f t="shared" si="3"/>
        <v>1</v>
      </c>
      <c r="Z19" t="b">
        <f t="shared" si="4"/>
        <v>1</v>
      </c>
      <c r="AA19" t="b">
        <f t="shared" si="5"/>
        <v>0</v>
      </c>
      <c r="AB19" t="b">
        <f t="shared" si="6"/>
        <v>0</v>
      </c>
      <c r="AC19" t="b">
        <f t="shared" si="7"/>
        <v>0</v>
      </c>
      <c r="AD19" t="b">
        <f t="shared" si="8"/>
        <v>0</v>
      </c>
      <c r="AE19" t="b">
        <f t="shared" si="9"/>
        <v>0</v>
      </c>
      <c r="AF19" t="b">
        <f t="shared" si="10"/>
        <v>0</v>
      </c>
      <c r="AG19" t="b">
        <f t="shared" si="11"/>
        <v>0</v>
      </c>
      <c r="AH19" t="b">
        <f t="shared" si="12"/>
        <v>0</v>
      </c>
    </row>
    <row r="20" spans="1:34" x14ac:dyDescent="0.2">
      <c r="A20" t="s">
        <v>64</v>
      </c>
      <c r="B20" t="s">
        <v>65</v>
      </c>
      <c r="C20" t="s">
        <v>44</v>
      </c>
      <c r="D20">
        <v>0</v>
      </c>
      <c r="E20">
        <v>2</v>
      </c>
      <c r="F20">
        <v>1</v>
      </c>
      <c r="G20">
        <v>0</v>
      </c>
      <c r="I20">
        <v>1</v>
      </c>
      <c r="J20">
        <v>0</v>
      </c>
      <c r="K20">
        <v>0</v>
      </c>
      <c r="L20">
        <v>0</v>
      </c>
      <c r="M20">
        <v>0</v>
      </c>
      <c r="O20">
        <v>0</v>
      </c>
      <c r="P20">
        <v>0</v>
      </c>
      <c r="Q20">
        <v>1</v>
      </c>
      <c r="R20">
        <v>2</v>
      </c>
      <c r="S20">
        <v>8</v>
      </c>
      <c r="T20">
        <v>2</v>
      </c>
      <c r="V20" t="b">
        <f t="shared" si="0"/>
        <v>1</v>
      </c>
      <c r="W20" t="b">
        <f t="shared" si="1"/>
        <v>0</v>
      </c>
      <c r="X20" t="b">
        <f t="shared" si="2"/>
        <v>0</v>
      </c>
      <c r="Y20" t="b">
        <f t="shared" si="3"/>
        <v>0</v>
      </c>
      <c r="Z20" t="b">
        <f t="shared" si="4"/>
        <v>0</v>
      </c>
      <c r="AA20" t="b">
        <f t="shared" si="5"/>
        <v>0</v>
      </c>
      <c r="AB20" t="b">
        <f t="shared" si="6"/>
        <v>0</v>
      </c>
      <c r="AC20" t="b">
        <f t="shared" si="7"/>
        <v>0</v>
      </c>
      <c r="AD20" t="b">
        <f t="shared" si="8"/>
        <v>0</v>
      </c>
      <c r="AE20" t="b">
        <f t="shared" si="9"/>
        <v>0</v>
      </c>
      <c r="AF20" t="b">
        <f t="shared" si="10"/>
        <v>0</v>
      </c>
      <c r="AG20" t="b">
        <f t="shared" si="11"/>
        <v>0</v>
      </c>
      <c r="AH20" t="b">
        <f t="shared" si="12"/>
        <v>0</v>
      </c>
    </row>
    <row r="21" spans="1:34" x14ac:dyDescent="0.2">
      <c r="A21" t="s">
        <v>66</v>
      </c>
      <c r="B21" t="s">
        <v>65</v>
      </c>
      <c r="C21" t="s">
        <v>44</v>
      </c>
      <c r="D21">
        <v>0</v>
      </c>
      <c r="E21">
        <v>2</v>
      </c>
      <c r="F21">
        <v>0</v>
      </c>
      <c r="G21">
        <v>0</v>
      </c>
      <c r="I21">
        <v>0</v>
      </c>
      <c r="J21">
        <v>0</v>
      </c>
      <c r="K21">
        <v>0</v>
      </c>
      <c r="M21">
        <v>0</v>
      </c>
      <c r="O21">
        <v>0</v>
      </c>
      <c r="P21">
        <v>0</v>
      </c>
      <c r="Q21">
        <v>1</v>
      </c>
      <c r="R21">
        <v>0</v>
      </c>
      <c r="S21">
        <v>9</v>
      </c>
      <c r="T21">
        <v>3</v>
      </c>
      <c r="V21" t="b">
        <f t="shared" si="0"/>
        <v>1</v>
      </c>
      <c r="W21" t="b">
        <f t="shared" si="1"/>
        <v>0</v>
      </c>
      <c r="X21" t="b">
        <f t="shared" si="2"/>
        <v>0</v>
      </c>
      <c r="Y21" t="b">
        <f t="shared" si="3"/>
        <v>0</v>
      </c>
      <c r="Z21" t="b">
        <f t="shared" si="4"/>
        <v>0</v>
      </c>
      <c r="AA21" t="b">
        <f t="shared" si="5"/>
        <v>0</v>
      </c>
      <c r="AB21" t="b">
        <f t="shared" si="6"/>
        <v>0</v>
      </c>
      <c r="AC21" t="b">
        <f t="shared" si="7"/>
        <v>0</v>
      </c>
      <c r="AD21" t="b">
        <f t="shared" si="8"/>
        <v>0</v>
      </c>
      <c r="AE21" t="b">
        <f t="shared" si="9"/>
        <v>0</v>
      </c>
      <c r="AF21" t="b">
        <f t="shared" si="10"/>
        <v>0</v>
      </c>
      <c r="AG21" t="b">
        <f t="shared" si="11"/>
        <v>0</v>
      </c>
      <c r="AH21" t="b">
        <f t="shared" si="12"/>
        <v>0</v>
      </c>
    </row>
    <row r="22" spans="1:34" x14ac:dyDescent="0.2">
      <c r="A22" t="s">
        <v>67</v>
      </c>
      <c r="B22" t="s">
        <v>65</v>
      </c>
      <c r="C22" t="s">
        <v>44</v>
      </c>
      <c r="D22">
        <v>0</v>
      </c>
      <c r="E22">
        <v>1</v>
      </c>
      <c r="F22">
        <v>0</v>
      </c>
      <c r="G22">
        <v>0</v>
      </c>
      <c r="I22">
        <v>0</v>
      </c>
      <c r="J22">
        <v>0</v>
      </c>
      <c r="K22">
        <v>0</v>
      </c>
      <c r="L22">
        <v>0</v>
      </c>
      <c r="M22">
        <v>0</v>
      </c>
      <c r="O22">
        <v>0</v>
      </c>
      <c r="P22">
        <v>0</v>
      </c>
      <c r="Q22">
        <v>0</v>
      </c>
      <c r="R22">
        <v>1</v>
      </c>
      <c r="S22">
        <v>10</v>
      </c>
      <c r="T22">
        <v>2</v>
      </c>
      <c r="V22" t="b">
        <f t="shared" si="0"/>
        <v>0</v>
      </c>
      <c r="W22" t="b">
        <f t="shared" si="1"/>
        <v>0</v>
      </c>
      <c r="X22" t="b">
        <f t="shared" si="2"/>
        <v>0</v>
      </c>
      <c r="Y22" t="b">
        <f t="shared" si="3"/>
        <v>0</v>
      </c>
      <c r="Z22" t="b">
        <f t="shared" si="4"/>
        <v>0</v>
      </c>
      <c r="AA22" t="b">
        <f t="shared" si="5"/>
        <v>0</v>
      </c>
      <c r="AB22" t="b">
        <f t="shared" si="6"/>
        <v>0</v>
      </c>
      <c r="AC22" t="b">
        <f t="shared" si="7"/>
        <v>0</v>
      </c>
      <c r="AD22" t="b">
        <f t="shared" si="8"/>
        <v>0</v>
      </c>
      <c r="AE22" t="b">
        <f t="shared" si="9"/>
        <v>0</v>
      </c>
      <c r="AF22" t="b">
        <f t="shared" si="10"/>
        <v>0</v>
      </c>
      <c r="AG22" t="b">
        <f t="shared" si="11"/>
        <v>0</v>
      </c>
      <c r="AH22" t="b">
        <f t="shared" si="12"/>
        <v>0</v>
      </c>
    </row>
    <row r="23" spans="1:34" x14ac:dyDescent="0.2">
      <c r="A23" t="s">
        <v>68</v>
      </c>
      <c r="B23" t="s">
        <v>69</v>
      </c>
      <c r="C23" t="s">
        <v>69</v>
      </c>
      <c r="D23">
        <v>2</v>
      </c>
      <c r="E23">
        <v>2</v>
      </c>
      <c r="F23">
        <v>2</v>
      </c>
      <c r="G23">
        <v>2</v>
      </c>
      <c r="H23">
        <v>1</v>
      </c>
      <c r="I23">
        <v>0</v>
      </c>
      <c r="J23">
        <v>2</v>
      </c>
      <c r="K23">
        <v>2</v>
      </c>
      <c r="M23">
        <v>2</v>
      </c>
      <c r="N23">
        <v>2</v>
      </c>
      <c r="O23">
        <v>2</v>
      </c>
      <c r="P23">
        <v>2</v>
      </c>
      <c r="Q23">
        <v>10</v>
      </c>
      <c r="R23">
        <v>1</v>
      </c>
      <c r="S23">
        <v>1</v>
      </c>
      <c r="T23">
        <v>1</v>
      </c>
      <c r="V23" t="b">
        <f t="shared" si="0"/>
        <v>1</v>
      </c>
      <c r="W23" t="b">
        <f t="shared" si="1"/>
        <v>1</v>
      </c>
      <c r="X23" t="b">
        <f t="shared" si="2"/>
        <v>1</v>
      </c>
      <c r="Y23" t="b">
        <f t="shared" si="3"/>
        <v>1</v>
      </c>
      <c r="Z23" t="b">
        <f t="shared" si="4"/>
        <v>1</v>
      </c>
      <c r="AA23" t="b">
        <f t="shared" si="5"/>
        <v>1</v>
      </c>
      <c r="AB23" t="b">
        <f t="shared" si="6"/>
        <v>1</v>
      </c>
      <c r="AC23" t="b">
        <f t="shared" si="7"/>
        <v>1</v>
      </c>
      <c r="AD23" t="b">
        <f t="shared" si="8"/>
        <v>1</v>
      </c>
      <c r="AE23" t="b">
        <f t="shared" si="9"/>
        <v>1</v>
      </c>
      <c r="AF23" t="b">
        <f t="shared" si="10"/>
        <v>0</v>
      </c>
      <c r="AG23" t="b">
        <f t="shared" si="11"/>
        <v>0</v>
      </c>
      <c r="AH23" t="b">
        <f t="shared" si="12"/>
        <v>0</v>
      </c>
    </row>
    <row r="24" spans="1:34" x14ac:dyDescent="0.2">
      <c r="A24" t="s">
        <v>70</v>
      </c>
      <c r="B24" t="s">
        <v>71</v>
      </c>
      <c r="C24" t="s">
        <v>71</v>
      </c>
      <c r="D24">
        <v>0</v>
      </c>
      <c r="E24">
        <v>2</v>
      </c>
      <c r="F24">
        <v>2</v>
      </c>
      <c r="G24">
        <v>1</v>
      </c>
      <c r="H24">
        <v>0</v>
      </c>
      <c r="I24">
        <v>0</v>
      </c>
      <c r="J24">
        <v>2</v>
      </c>
      <c r="K24">
        <v>0</v>
      </c>
      <c r="L24">
        <v>2</v>
      </c>
      <c r="M24">
        <v>1</v>
      </c>
      <c r="N24">
        <v>0</v>
      </c>
      <c r="O24">
        <v>2</v>
      </c>
      <c r="P24">
        <v>0</v>
      </c>
      <c r="Q24">
        <v>5</v>
      </c>
      <c r="R24">
        <v>2</v>
      </c>
      <c r="S24">
        <v>6</v>
      </c>
      <c r="T24">
        <v>0</v>
      </c>
      <c r="V24" t="b">
        <f t="shared" si="0"/>
        <v>1</v>
      </c>
      <c r="W24" t="b">
        <f t="shared" si="1"/>
        <v>1</v>
      </c>
      <c r="X24" t="b">
        <f t="shared" si="2"/>
        <v>1</v>
      </c>
      <c r="Y24" t="b">
        <f t="shared" si="3"/>
        <v>1</v>
      </c>
      <c r="Z24" t="b">
        <f t="shared" si="4"/>
        <v>1</v>
      </c>
      <c r="AA24" t="b">
        <f t="shared" si="5"/>
        <v>0</v>
      </c>
      <c r="AB24" t="b">
        <f t="shared" si="6"/>
        <v>0</v>
      </c>
      <c r="AC24" t="b">
        <f t="shared" si="7"/>
        <v>0</v>
      </c>
      <c r="AD24" t="b">
        <f t="shared" si="8"/>
        <v>0</v>
      </c>
      <c r="AE24" t="b">
        <f t="shared" si="9"/>
        <v>0</v>
      </c>
      <c r="AF24" t="b">
        <f t="shared" si="10"/>
        <v>0</v>
      </c>
      <c r="AG24" t="b">
        <f t="shared" si="11"/>
        <v>0</v>
      </c>
      <c r="AH24" t="b">
        <f t="shared" si="12"/>
        <v>0</v>
      </c>
    </row>
    <row r="25" spans="1:34" x14ac:dyDescent="0.2">
      <c r="A25" t="s">
        <v>72</v>
      </c>
      <c r="B25" t="s">
        <v>71</v>
      </c>
      <c r="C25" t="s">
        <v>71</v>
      </c>
      <c r="D25">
        <v>2</v>
      </c>
      <c r="E25">
        <v>2</v>
      </c>
      <c r="F25">
        <v>2</v>
      </c>
      <c r="G25">
        <v>2</v>
      </c>
      <c r="H25">
        <v>2</v>
      </c>
      <c r="I25">
        <v>0</v>
      </c>
      <c r="J25">
        <v>1</v>
      </c>
      <c r="K25">
        <v>2</v>
      </c>
      <c r="L25">
        <v>1</v>
      </c>
      <c r="M25">
        <v>2</v>
      </c>
      <c r="N25">
        <v>2</v>
      </c>
      <c r="O25">
        <v>2</v>
      </c>
      <c r="P25">
        <v>0</v>
      </c>
      <c r="Q25">
        <v>9</v>
      </c>
      <c r="R25">
        <v>2</v>
      </c>
      <c r="S25">
        <v>2</v>
      </c>
      <c r="T25">
        <v>0</v>
      </c>
      <c r="V25" t="b">
        <f t="shared" si="0"/>
        <v>1</v>
      </c>
      <c r="W25" t="b">
        <f t="shared" si="1"/>
        <v>1</v>
      </c>
      <c r="X25" t="b">
        <f t="shared" si="2"/>
        <v>1</v>
      </c>
      <c r="Y25" t="b">
        <f t="shared" si="3"/>
        <v>1</v>
      </c>
      <c r="Z25" t="b">
        <f t="shared" si="4"/>
        <v>1</v>
      </c>
      <c r="AA25" t="b">
        <f t="shared" si="5"/>
        <v>1</v>
      </c>
      <c r="AB25" t="b">
        <f t="shared" si="6"/>
        <v>1</v>
      </c>
      <c r="AC25" t="b">
        <f t="shared" si="7"/>
        <v>1</v>
      </c>
      <c r="AD25" t="b">
        <f t="shared" si="8"/>
        <v>1</v>
      </c>
      <c r="AE25" t="b">
        <f t="shared" si="9"/>
        <v>0</v>
      </c>
      <c r="AF25" t="b">
        <f t="shared" si="10"/>
        <v>0</v>
      </c>
      <c r="AG25" t="b">
        <f t="shared" si="11"/>
        <v>0</v>
      </c>
      <c r="AH25" t="b">
        <f t="shared" si="12"/>
        <v>0</v>
      </c>
    </row>
    <row r="26" spans="1:34" x14ac:dyDescent="0.2">
      <c r="A26" t="s">
        <v>73</v>
      </c>
      <c r="B26" t="s">
        <v>74</v>
      </c>
      <c r="C26" t="s">
        <v>74</v>
      </c>
      <c r="D26">
        <v>2</v>
      </c>
      <c r="E26">
        <v>2</v>
      </c>
      <c r="F26">
        <v>2</v>
      </c>
      <c r="G26">
        <v>2</v>
      </c>
      <c r="H26">
        <v>2</v>
      </c>
      <c r="I26">
        <v>1</v>
      </c>
      <c r="J26">
        <v>2</v>
      </c>
      <c r="K26">
        <v>2</v>
      </c>
      <c r="L26">
        <v>1</v>
      </c>
      <c r="M26">
        <v>2</v>
      </c>
      <c r="N26">
        <v>2</v>
      </c>
      <c r="O26">
        <v>2</v>
      </c>
      <c r="P26">
        <v>2</v>
      </c>
      <c r="Q26">
        <v>11</v>
      </c>
      <c r="R26">
        <v>2</v>
      </c>
      <c r="S26">
        <v>0</v>
      </c>
      <c r="T26">
        <v>0</v>
      </c>
      <c r="V26" t="b">
        <f t="shared" si="0"/>
        <v>1</v>
      </c>
      <c r="W26" t="b">
        <f t="shared" si="1"/>
        <v>1</v>
      </c>
      <c r="X26" t="b">
        <f t="shared" si="2"/>
        <v>1</v>
      </c>
      <c r="Y26" t="b">
        <f t="shared" si="3"/>
        <v>1</v>
      </c>
      <c r="Z26" t="b">
        <f t="shared" si="4"/>
        <v>1</v>
      </c>
      <c r="AA26" t="b">
        <f t="shared" si="5"/>
        <v>1</v>
      </c>
      <c r="AB26" t="b">
        <f t="shared" si="6"/>
        <v>1</v>
      </c>
      <c r="AC26" t="b">
        <f t="shared" si="7"/>
        <v>1</v>
      </c>
      <c r="AD26" t="b">
        <f t="shared" si="8"/>
        <v>1</v>
      </c>
      <c r="AE26" t="b">
        <f t="shared" si="9"/>
        <v>1</v>
      </c>
      <c r="AF26" t="b">
        <f t="shared" si="10"/>
        <v>1</v>
      </c>
      <c r="AG26" t="b">
        <f t="shared" si="11"/>
        <v>0</v>
      </c>
      <c r="AH26" t="b">
        <f t="shared" si="12"/>
        <v>0</v>
      </c>
    </row>
    <row r="27" spans="1:34" x14ac:dyDescent="0.2">
      <c r="A27" t="s">
        <v>75</v>
      </c>
      <c r="B27" t="s">
        <v>74</v>
      </c>
      <c r="C27" t="s">
        <v>74</v>
      </c>
      <c r="D27">
        <v>2</v>
      </c>
      <c r="E27">
        <v>2</v>
      </c>
      <c r="F27">
        <v>2</v>
      </c>
      <c r="G27">
        <v>2</v>
      </c>
      <c r="H27">
        <v>2</v>
      </c>
      <c r="I27">
        <v>0</v>
      </c>
      <c r="J27">
        <v>1</v>
      </c>
      <c r="K27">
        <v>2</v>
      </c>
      <c r="L27">
        <v>0</v>
      </c>
      <c r="M27">
        <v>2</v>
      </c>
      <c r="O27">
        <v>2</v>
      </c>
      <c r="P27">
        <v>2</v>
      </c>
      <c r="Q27">
        <v>9</v>
      </c>
      <c r="R27">
        <v>1</v>
      </c>
      <c r="S27">
        <v>2</v>
      </c>
      <c r="T27">
        <v>1</v>
      </c>
      <c r="V27" t="b">
        <f t="shared" si="0"/>
        <v>1</v>
      </c>
      <c r="W27" t="b">
        <f t="shared" si="1"/>
        <v>1</v>
      </c>
      <c r="X27" t="b">
        <f t="shared" si="2"/>
        <v>1</v>
      </c>
      <c r="Y27" t="b">
        <f t="shared" si="3"/>
        <v>1</v>
      </c>
      <c r="Z27" t="b">
        <f t="shared" si="4"/>
        <v>1</v>
      </c>
      <c r="AA27" t="b">
        <f t="shared" si="5"/>
        <v>1</v>
      </c>
      <c r="AB27" t="b">
        <f t="shared" si="6"/>
        <v>1</v>
      </c>
      <c r="AC27" t="b">
        <f t="shared" si="7"/>
        <v>1</v>
      </c>
      <c r="AD27" t="b">
        <f t="shared" si="8"/>
        <v>1</v>
      </c>
      <c r="AE27" t="b">
        <f t="shared" si="9"/>
        <v>0</v>
      </c>
      <c r="AF27" t="b">
        <f t="shared" si="10"/>
        <v>0</v>
      </c>
      <c r="AG27" t="b">
        <f t="shared" si="11"/>
        <v>0</v>
      </c>
      <c r="AH27" t="b">
        <f t="shared" si="12"/>
        <v>0</v>
      </c>
    </row>
    <row r="28" spans="1:34" x14ac:dyDescent="0.2">
      <c r="A28" t="s">
        <v>76</v>
      </c>
      <c r="B28" t="s">
        <v>74</v>
      </c>
      <c r="C28" t="s">
        <v>74</v>
      </c>
      <c r="D28">
        <v>2</v>
      </c>
      <c r="E28">
        <v>2</v>
      </c>
      <c r="F28">
        <v>2</v>
      </c>
      <c r="G28">
        <v>2</v>
      </c>
      <c r="H28">
        <v>2</v>
      </c>
      <c r="I28">
        <v>1</v>
      </c>
      <c r="J28">
        <v>1</v>
      </c>
      <c r="K28">
        <v>2</v>
      </c>
      <c r="L28">
        <v>1</v>
      </c>
      <c r="M28">
        <v>2</v>
      </c>
      <c r="N28">
        <v>2</v>
      </c>
      <c r="O28">
        <v>2</v>
      </c>
      <c r="P28">
        <v>2</v>
      </c>
      <c r="Q28">
        <v>10</v>
      </c>
      <c r="R28">
        <v>3</v>
      </c>
      <c r="S28">
        <v>0</v>
      </c>
      <c r="T28">
        <v>0</v>
      </c>
      <c r="V28" t="b">
        <f t="shared" si="0"/>
        <v>1</v>
      </c>
      <c r="W28" t="b">
        <f t="shared" si="1"/>
        <v>1</v>
      </c>
      <c r="X28" t="b">
        <f t="shared" si="2"/>
        <v>1</v>
      </c>
      <c r="Y28" t="b">
        <f t="shared" si="3"/>
        <v>1</v>
      </c>
      <c r="Z28" t="b">
        <f t="shared" si="4"/>
        <v>1</v>
      </c>
      <c r="AA28" t="b">
        <f t="shared" si="5"/>
        <v>1</v>
      </c>
      <c r="AB28" t="b">
        <f t="shared" si="6"/>
        <v>1</v>
      </c>
      <c r="AC28" t="b">
        <f t="shared" si="7"/>
        <v>1</v>
      </c>
      <c r="AD28" t="b">
        <f t="shared" si="8"/>
        <v>1</v>
      </c>
      <c r="AE28" t="b">
        <f t="shared" si="9"/>
        <v>1</v>
      </c>
      <c r="AF28" t="b">
        <f t="shared" si="10"/>
        <v>0</v>
      </c>
      <c r="AG28" t="b">
        <f t="shared" si="11"/>
        <v>0</v>
      </c>
      <c r="AH28" t="b">
        <f t="shared" si="12"/>
        <v>0</v>
      </c>
    </row>
    <row r="29" spans="1:34" x14ac:dyDescent="0.2">
      <c r="A29" t="s">
        <v>77</v>
      </c>
      <c r="B29" t="s">
        <v>78</v>
      </c>
      <c r="C29" t="s">
        <v>78</v>
      </c>
      <c r="D29">
        <v>0</v>
      </c>
      <c r="E29">
        <v>1</v>
      </c>
      <c r="F29">
        <v>0</v>
      </c>
      <c r="G29">
        <v>0</v>
      </c>
      <c r="H29">
        <v>0</v>
      </c>
      <c r="I29">
        <v>0</v>
      </c>
      <c r="J29">
        <v>2</v>
      </c>
      <c r="K29">
        <v>0</v>
      </c>
      <c r="M29">
        <v>0</v>
      </c>
      <c r="P29">
        <v>0</v>
      </c>
      <c r="Q29">
        <v>1</v>
      </c>
      <c r="R29">
        <v>1</v>
      </c>
      <c r="S29">
        <v>8</v>
      </c>
      <c r="T29">
        <v>3</v>
      </c>
      <c r="V29" t="b">
        <f t="shared" si="0"/>
        <v>1</v>
      </c>
      <c r="W29" t="b">
        <f t="shared" si="1"/>
        <v>0</v>
      </c>
      <c r="X29" t="b">
        <f t="shared" si="2"/>
        <v>0</v>
      </c>
      <c r="Y29" t="b">
        <f t="shared" si="3"/>
        <v>0</v>
      </c>
      <c r="Z29" t="b">
        <f t="shared" si="4"/>
        <v>0</v>
      </c>
      <c r="AA29" t="b">
        <f t="shared" si="5"/>
        <v>0</v>
      </c>
      <c r="AB29" t="b">
        <f t="shared" si="6"/>
        <v>0</v>
      </c>
      <c r="AC29" t="b">
        <f t="shared" si="7"/>
        <v>0</v>
      </c>
      <c r="AD29" t="b">
        <f t="shared" si="8"/>
        <v>0</v>
      </c>
      <c r="AE29" t="b">
        <f t="shared" si="9"/>
        <v>0</v>
      </c>
      <c r="AF29" t="b">
        <f t="shared" si="10"/>
        <v>0</v>
      </c>
      <c r="AG29" t="b">
        <f t="shared" si="11"/>
        <v>0</v>
      </c>
      <c r="AH29" t="b">
        <f t="shared" si="12"/>
        <v>0</v>
      </c>
    </row>
    <row r="30" spans="1:34" x14ac:dyDescent="0.2">
      <c r="A30" t="s">
        <v>79</v>
      </c>
      <c r="B30" t="s">
        <v>78</v>
      </c>
      <c r="C30" t="s">
        <v>78</v>
      </c>
      <c r="D30">
        <v>1</v>
      </c>
      <c r="E30">
        <v>2</v>
      </c>
      <c r="F30">
        <v>2</v>
      </c>
      <c r="G30">
        <v>2</v>
      </c>
      <c r="H30">
        <v>2</v>
      </c>
      <c r="I30">
        <v>2</v>
      </c>
      <c r="J30">
        <v>2</v>
      </c>
      <c r="K30">
        <v>2</v>
      </c>
      <c r="L30">
        <v>1</v>
      </c>
      <c r="M30">
        <v>2</v>
      </c>
      <c r="N30">
        <v>1</v>
      </c>
      <c r="O30">
        <v>2</v>
      </c>
      <c r="P30">
        <v>1</v>
      </c>
      <c r="Q30">
        <v>9</v>
      </c>
      <c r="R30">
        <v>4</v>
      </c>
      <c r="S30">
        <v>0</v>
      </c>
      <c r="T30">
        <v>0</v>
      </c>
      <c r="V30" t="b">
        <f t="shared" si="0"/>
        <v>1</v>
      </c>
      <c r="W30" t="b">
        <f t="shared" si="1"/>
        <v>1</v>
      </c>
      <c r="X30" t="b">
        <f t="shared" si="2"/>
        <v>1</v>
      </c>
      <c r="Y30" t="b">
        <f t="shared" si="3"/>
        <v>1</v>
      </c>
      <c r="Z30" t="b">
        <f t="shared" si="4"/>
        <v>1</v>
      </c>
      <c r="AA30" t="b">
        <f t="shared" si="5"/>
        <v>1</v>
      </c>
      <c r="AB30" t="b">
        <f t="shared" si="6"/>
        <v>1</v>
      </c>
      <c r="AC30" t="b">
        <f t="shared" si="7"/>
        <v>1</v>
      </c>
      <c r="AD30" t="b">
        <f t="shared" si="8"/>
        <v>1</v>
      </c>
      <c r="AE30" t="b">
        <f t="shared" si="9"/>
        <v>0</v>
      </c>
      <c r="AF30" t="b">
        <f t="shared" si="10"/>
        <v>0</v>
      </c>
      <c r="AG30" t="b">
        <f t="shared" si="11"/>
        <v>0</v>
      </c>
      <c r="AH30" t="b">
        <f t="shared" si="12"/>
        <v>0</v>
      </c>
    </row>
    <row r="31" spans="1:34" x14ac:dyDescent="0.2">
      <c r="A31" t="s">
        <v>80</v>
      </c>
      <c r="B31" t="s">
        <v>78</v>
      </c>
      <c r="C31" t="s">
        <v>78</v>
      </c>
      <c r="D31">
        <v>1</v>
      </c>
      <c r="E31">
        <v>1</v>
      </c>
      <c r="F31">
        <v>1</v>
      </c>
      <c r="G31">
        <v>2</v>
      </c>
      <c r="H31">
        <v>0</v>
      </c>
      <c r="I31">
        <v>0</v>
      </c>
      <c r="J31">
        <v>1</v>
      </c>
      <c r="K31">
        <v>0</v>
      </c>
      <c r="L31">
        <v>2</v>
      </c>
      <c r="M31">
        <v>1</v>
      </c>
      <c r="O31">
        <v>0</v>
      </c>
      <c r="P31">
        <v>0</v>
      </c>
      <c r="Q31">
        <v>2</v>
      </c>
      <c r="R31">
        <v>5</v>
      </c>
      <c r="S31">
        <v>5</v>
      </c>
      <c r="T31">
        <v>1</v>
      </c>
      <c r="V31" t="b">
        <f t="shared" si="0"/>
        <v>1</v>
      </c>
      <c r="W31" t="b">
        <f t="shared" si="1"/>
        <v>1</v>
      </c>
      <c r="X31" t="b">
        <f t="shared" si="2"/>
        <v>0</v>
      </c>
      <c r="Y31" t="b">
        <f t="shared" si="3"/>
        <v>0</v>
      </c>
      <c r="Z31" t="b">
        <f t="shared" si="4"/>
        <v>0</v>
      </c>
      <c r="AA31" t="b">
        <f t="shared" si="5"/>
        <v>0</v>
      </c>
      <c r="AB31" t="b">
        <f t="shared" si="6"/>
        <v>0</v>
      </c>
      <c r="AC31" t="b">
        <f t="shared" si="7"/>
        <v>0</v>
      </c>
      <c r="AD31" t="b">
        <f t="shared" si="8"/>
        <v>0</v>
      </c>
      <c r="AE31" t="b">
        <f t="shared" si="9"/>
        <v>0</v>
      </c>
      <c r="AF31" t="b">
        <f t="shared" si="10"/>
        <v>0</v>
      </c>
      <c r="AG31" t="b">
        <f t="shared" si="11"/>
        <v>0</v>
      </c>
      <c r="AH31" t="b">
        <f t="shared" si="12"/>
        <v>0</v>
      </c>
    </row>
    <row r="32" spans="1:34" x14ac:dyDescent="0.2">
      <c r="A32" t="s">
        <v>81</v>
      </c>
      <c r="B32" t="s">
        <v>78</v>
      </c>
      <c r="C32" t="s">
        <v>78</v>
      </c>
      <c r="D32">
        <v>1</v>
      </c>
      <c r="E32">
        <v>1</v>
      </c>
      <c r="F32">
        <v>2</v>
      </c>
      <c r="G32">
        <v>2</v>
      </c>
      <c r="H32">
        <v>2</v>
      </c>
      <c r="I32">
        <v>1</v>
      </c>
      <c r="J32">
        <v>1</v>
      </c>
      <c r="K32">
        <v>2</v>
      </c>
      <c r="L32">
        <v>1</v>
      </c>
      <c r="M32">
        <v>2</v>
      </c>
      <c r="N32">
        <v>2</v>
      </c>
      <c r="O32">
        <v>0</v>
      </c>
      <c r="P32">
        <v>0</v>
      </c>
      <c r="Q32">
        <v>6</v>
      </c>
      <c r="R32">
        <v>5</v>
      </c>
      <c r="S32">
        <v>2</v>
      </c>
      <c r="T32">
        <v>0</v>
      </c>
      <c r="V32" t="b">
        <f t="shared" si="0"/>
        <v>1</v>
      </c>
      <c r="W32" t="b">
        <f t="shared" si="1"/>
        <v>1</v>
      </c>
      <c r="X32" t="b">
        <f t="shared" si="2"/>
        <v>1</v>
      </c>
      <c r="Y32" t="b">
        <f t="shared" si="3"/>
        <v>1</v>
      </c>
      <c r="Z32" t="b">
        <f t="shared" si="4"/>
        <v>1</v>
      </c>
      <c r="AA32" t="b">
        <f t="shared" si="5"/>
        <v>1</v>
      </c>
      <c r="AB32" t="b">
        <f t="shared" si="6"/>
        <v>0</v>
      </c>
      <c r="AC32" t="b">
        <f t="shared" si="7"/>
        <v>0</v>
      </c>
      <c r="AD32" t="b">
        <f t="shared" si="8"/>
        <v>0</v>
      </c>
      <c r="AE32" t="b">
        <f t="shared" si="9"/>
        <v>0</v>
      </c>
      <c r="AF32" t="b">
        <f t="shared" si="10"/>
        <v>0</v>
      </c>
      <c r="AG32" t="b">
        <f t="shared" si="11"/>
        <v>0</v>
      </c>
      <c r="AH32" t="b">
        <f t="shared" si="12"/>
        <v>0</v>
      </c>
    </row>
    <row r="33" spans="1:34" x14ac:dyDescent="0.2">
      <c r="A33" t="s">
        <v>82</v>
      </c>
      <c r="B33" t="s">
        <v>78</v>
      </c>
      <c r="C33" t="s">
        <v>78</v>
      </c>
      <c r="D33">
        <v>2</v>
      </c>
      <c r="E33">
        <v>1</v>
      </c>
      <c r="F33">
        <v>2</v>
      </c>
      <c r="G33">
        <v>2</v>
      </c>
      <c r="H33">
        <v>2</v>
      </c>
      <c r="I33">
        <v>1</v>
      </c>
      <c r="J33">
        <v>1</v>
      </c>
      <c r="K33">
        <v>2</v>
      </c>
      <c r="L33">
        <v>1</v>
      </c>
      <c r="M33">
        <v>2</v>
      </c>
      <c r="N33">
        <v>2</v>
      </c>
      <c r="O33">
        <v>2</v>
      </c>
      <c r="P33">
        <v>2</v>
      </c>
      <c r="Q33">
        <v>9</v>
      </c>
      <c r="R33">
        <v>4</v>
      </c>
      <c r="S33">
        <v>0</v>
      </c>
      <c r="T33">
        <v>0</v>
      </c>
      <c r="V33" t="b">
        <f t="shared" si="0"/>
        <v>1</v>
      </c>
      <c r="W33" t="b">
        <f t="shared" si="1"/>
        <v>1</v>
      </c>
      <c r="X33" t="b">
        <f t="shared" si="2"/>
        <v>1</v>
      </c>
      <c r="Y33" t="b">
        <f t="shared" si="3"/>
        <v>1</v>
      </c>
      <c r="Z33" t="b">
        <f t="shared" si="4"/>
        <v>1</v>
      </c>
      <c r="AA33" t="b">
        <f t="shared" si="5"/>
        <v>1</v>
      </c>
      <c r="AB33" t="b">
        <f t="shared" si="6"/>
        <v>1</v>
      </c>
      <c r="AC33" t="b">
        <f t="shared" si="7"/>
        <v>1</v>
      </c>
      <c r="AD33" t="b">
        <f t="shared" si="8"/>
        <v>1</v>
      </c>
      <c r="AE33" t="b">
        <f t="shared" si="9"/>
        <v>0</v>
      </c>
      <c r="AF33" t="b">
        <f t="shared" si="10"/>
        <v>0</v>
      </c>
      <c r="AG33" t="b">
        <f t="shared" si="11"/>
        <v>0</v>
      </c>
      <c r="AH33" t="b">
        <f t="shared" si="12"/>
        <v>0</v>
      </c>
    </row>
    <row r="34" spans="1:34" x14ac:dyDescent="0.2">
      <c r="A34" t="s">
        <v>83</v>
      </c>
      <c r="B34" t="s">
        <v>84</v>
      </c>
      <c r="C34" t="s">
        <v>44</v>
      </c>
      <c r="D34">
        <v>1</v>
      </c>
      <c r="E34">
        <v>0</v>
      </c>
      <c r="F34">
        <v>1</v>
      </c>
      <c r="G34">
        <v>2</v>
      </c>
      <c r="H34">
        <v>0</v>
      </c>
      <c r="I34">
        <v>0</v>
      </c>
      <c r="J34">
        <v>0</v>
      </c>
      <c r="K34">
        <v>1</v>
      </c>
      <c r="L34">
        <v>1</v>
      </c>
      <c r="M34">
        <v>2</v>
      </c>
      <c r="O34">
        <v>1</v>
      </c>
      <c r="P34">
        <v>0</v>
      </c>
      <c r="Q34">
        <v>2</v>
      </c>
      <c r="R34">
        <v>5</v>
      </c>
      <c r="S34">
        <v>5</v>
      </c>
      <c r="T34">
        <v>1</v>
      </c>
      <c r="V34" t="b">
        <f t="shared" si="0"/>
        <v>1</v>
      </c>
      <c r="W34" t="b">
        <f t="shared" si="1"/>
        <v>1</v>
      </c>
      <c r="X34" t="b">
        <f t="shared" si="2"/>
        <v>0</v>
      </c>
      <c r="Y34" t="b">
        <f t="shared" si="3"/>
        <v>0</v>
      </c>
      <c r="Z34" t="b">
        <f t="shared" si="4"/>
        <v>0</v>
      </c>
      <c r="AA34" t="b">
        <f t="shared" si="5"/>
        <v>0</v>
      </c>
      <c r="AB34" t="b">
        <f t="shared" si="6"/>
        <v>0</v>
      </c>
      <c r="AC34" t="b">
        <f t="shared" si="7"/>
        <v>0</v>
      </c>
      <c r="AD34" t="b">
        <f t="shared" si="8"/>
        <v>0</v>
      </c>
      <c r="AE34" t="b">
        <f t="shared" si="9"/>
        <v>0</v>
      </c>
      <c r="AF34" t="b">
        <f t="shared" si="10"/>
        <v>0</v>
      </c>
      <c r="AG34" t="b">
        <f t="shared" si="11"/>
        <v>0</v>
      </c>
      <c r="AH34" t="b">
        <f t="shared" si="12"/>
        <v>0</v>
      </c>
    </row>
    <row r="35" spans="1:34" x14ac:dyDescent="0.2">
      <c r="A35" t="s">
        <v>85</v>
      </c>
      <c r="B35" t="s">
        <v>84</v>
      </c>
      <c r="C35" t="s">
        <v>44</v>
      </c>
      <c r="D35">
        <v>2</v>
      </c>
      <c r="E35">
        <v>0</v>
      </c>
      <c r="F35">
        <v>2</v>
      </c>
      <c r="G35">
        <v>2</v>
      </c>
      <c r="H35">
        <v>2</v>
      </c>
      <c r="I35">
        <v>2</v>
      </c>
      <c r="J35">
        <v>0</v>
      </c>
      <c r="K35">
        <v>2</v>
      </c>
      <c r="L35">
        <v>1</v>
      </c>
      <c r="M35">
        <v>2</v>
      </c>
      <c r="O35">
        <v>2</v>
      </c>
      <c r="P35">
        <v>2</v>
      </c>
      <c r="Q35">
        <v>9</v>
      </c>
      <c r="R35">
        <v>1</v>
      </c>
      <c r="S35">
        <v>2</v>
      </c>
      <c r="T35">
        <v>1</v>
      </c>
      <c r="V35" t="b">
        <f t="shared" si="0"/>
        <v>1</v>
      </c>
      <c r="W35" t="b">
        <f t="shared" si="1"/>
        <v>1</v>
      </c>
      <c r="X35" t="b">
        <f t="shared" si="2"/>
        <v>1</v>
      </c>
      <c r="Y35" t="b">
        <f t="shared" si="3"/>
        <v>1</v>
      </c>
      <c r="Z35" t="b">
        <f t="shared" si="4"/>
        <v>1</v>
      </c>
      <c r="AA35" t="b">
        <f t="shared" si="5"/>
        <v>1</v>
      </c>
      <c r="AB35" t="b">
        <f t="shared" si="6"/>
        <v>1</v>
      </c>
      <c r="AC35" t="b">
        <f t="shared" si="7"/>
        <v>1</v>
      </c>
      <c r="AD35" t="b">
        <f t="shared" si="8"/>
        <v>1</v>
      </c>
      <c r="AE35" t="b">
        <f t="shared" si="9"/>
        <v>0</v>
      </c>
      <c r="AF35" t="b">
        <f t="shared" si="10"/>
        <v>0</v>
      </c>
      <c r="AG35" t="b">
        <f t="shared" si="11"/>
        <v>0</v>
      </c>
      <c r="AH35" t="b">
        <f t="shared" si="12"/>
        <v>0</v>
      </c>
    </row>
    <row r="36" spans="1:34" x14ac:dyDescent="0.2">
      <c r="A36" t="s">
        <v>67</v>
      </c>
      <c r="B36" t="s">
        <v>84</v>
      </c>
      <c r="C36" t="s">
        <v>44</v>
      </c>
      <c r="D36">
        <v>0</v>
      </c>
      <c r="E36">
        <v>0</v>
      </c>
      <c r="F36">
        <v>0</v>
      </c>
      <c r="G36">
        <v>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O36">
        <v>0</v>
      </c>
      <c r="P36">
        <v>0</v>
      </c>
      <c r="Q36">
        <v>1</v>
      </c>
      <c r="R36">
        <v>0</v>
      </c>
      <c r="S36">
        <v>11</v>
      </c>
      <c r="T36">
        <v>1</v>
      </c>
      <c r="V36" t="b">
        <f t="shared" si="0"/>
        <v>1</v>
      </c>
      <c r="W36" t="b">
        <f t="shared" si="1"/>
        <v>0</v>
      </c>
      <c r="X36" t="b">
        <f t="shared" si="2"/>
        <v>0</v>
      </c>
      <c r="Y36" t="b">
        <f t="shared" si="3"/>
        <v>0</v>
      </c>
      <c r="Z36" t="b">
        <f t="shared" si="4"/>
        <v>0</v>
      </c>
      <c r="AA36" t="b">
        <f t="shared" si="5"/>
        <v>0</v>
      </c>
      <c r="AB36" t="b">
        <f t="shared" si="6"/>
        <v>0</v>
      </c>
      <c r="AC36" t="b">
        <f t="shared" si="7"/>
        <v>0</v>
      </c>
      <c r="AD36" t="b">
        <f t="shared" si="8"/>
        <v>0</v>
      </c>
      <c r="AE36" t="b">
        <f t="shared" si="9"/>
        <v>0</v>
      </c>
      <c r="AF36" t="b">
        <f t="shared" si="10"/>
        <v>0</v>
      </c>
      <c r="AG36" t="b">
        <f t="shared" si="11"/>
        <v>0</v>
      </c>
      <c r="AH36" t="b">
        <f t="shared" si="12"/>
        <v>0</v>
      </c>
    </row>
    <row r="37" spans="1:34" x14ac:dyDescent="0.2">
      <c r="A37" t="s">
        <v>86</v>
      </c>
      <c r="B37" t="s">
        <v>84</v>
      </c>
      <c r="C37" t="s">
        <v>44</v>
      </c>
      <c r="D37">
        <v>1</v>
      </c>
      <c r="E37">
        <v>0</v>
      </c>
      <c r="F37">
        <v>1</v>
      </c>
      <c r="G37">
        <v>2</v>
      </c>
      <c r="H37">
        <v>2</v>
      </c>
      <c r="I37">
        <v>1</v>
      </c>
      <c r="J37">
        <v>1</v>
      </c>
      <c r="K37">
        <v>1</v>
      </c>
      <c r="L37">
        <v>1</v>
      </c>
      <c r="M37">
        <v>2</v>
      </c>
      <c r="N37">
        <v>1</v>
      </c>
      <c r="O37">
        <v>2</v>
      </c>
      <c r="P37">
        <v>1</v>
      </c>
      <c r="Q37">
        <v>4</v>
      </c>
      <c r="R37">
        <v>8</v>
      </c>
      <c r="S37">
        <v>1</v>
      </c>
      <c r="T37">
        <v>0</v>
      </c>
      <c r="V37" t="b">
        <f t="shared" si="0"/>
        <v>1</v>
      </c>
      <c r="W37" t="b">
        <f t="shared" si="1"/>
        <v>1</v>
      </c>
      <c r="X37" t="b">
        <f t="shared" si="2"/>
        <v>1</v>
      </c>
      <c r="Y37" t="b">
        <f t="shared" si="3"/>
        <v>1</v>
      </c>
      <c r="Z37" t="b">
        <f t="shared" si="4"/>
        <v>0</v>
      </c>
      <c r="AA37" t="b">
        <f t="shared" si="5"/>
        <v>0</v>
      </c>
      <c r="AB37" t="b">
        <f t="shared" si="6"/>
        <v>0</v>
      </c>
      <c r="AC37" t="b">
        <f t="shared" si="7"/>
        <v>0</v>
      </c>
      <c r="AD37" t="b">
        <f t="shared" si="8"/>
        <v>0</v>
      </c>
      <c r="AE37" t="b">
        <f t="shared" si="9"/>
        <v>0</v>
      </c>
      <c r="AF37" t="b">
        <f t="shared" si="10"/>
        <v>0</v>
      </c>
      <c r="AG37" t="b">
        <f t="shared" si="11"/>
        <v>0</v>
      </c>
      <c r="AH37" t="b">
        <f t="shared" si="12"/>
        <v>0</v>
      </c>
    </row>
    <row r="38" spans="1:34" x14ac:dyDescent="0.2">
      <c r="A38" t="s">
        <v>87</v>
      </c>
      <c r="B38" t="s">
        <v>84</v>
      </c>
      <c r="C38" t="s">
        <v>44</v>
      </c>
      <c r="D38">
        <v>1</v>
      </c>
      <c r="E38">
        <v>2</v>
      </c>
      <c r="F38">
        <v>2</v>
      </c>
      <c r="G38">
        <v>2</v>
      </c>
      <c r="H38">
        <v>2</v>
      </c>
      <c r="I38">
        <v>2</v>
      </c>
      <c r="J38">
        <v>1</v>
      </c>
      <c r="K38">
        <v>2</v>
      </c>
      <c r="L38">
        <v>2</v>
      </c>
      <c r="M38">
        <v>2</v>
      </c>
      <c r="N38">
        <v>1</v>
      </c>
      <c r="O38">
        <v>2</v>
      </c>
      <c r="P38">
        <v>2</v>
      </c>
      <c r="Q38">
        <v>10</v>
      </c>
      <c r="R38">
        <v>3</v>
      </c>
      <c r="S38">
        <v>0</v>
      </c>
      <c r="T38">
        <v>0</v>
      </c>
      <c r="V38" t="b">
        <f t="shared" si="0"/>
        <v>1</v>
      </c>
      <c r="W38" t="b">
        <f t="shared" si="1"/>
        <v>1</v>
      </c>
      <c r="X38" t="b">
        <f t="shared" si="2"/>
        <v>1</v>
      </c>
      <c r="Y38" t="b">
        <f t="shared" si="3"/>
        <v>1</v>
      </c>
      <c r="Z38" t="b">
        <f t="shared" si="4"/>
        <v>1</v>
      </c>
      <c r="AA38" t="b">
        <f t="shared" si="5"/>
        <v>1</v>
      </c>
      <c r="AB38" t="b">
        <f t="shared" si="6"/>
        <v>1</v>
      </c>
      <c r="AC38" t="b">
        <f t="shared" si="7"/>
        <v>1</v>
      </c>
      <c r="AD38" t="b">
        <f t="shared" si="8"/>
        <v>1</v>
      </c>
      <c r="AE38" t="b">
        <f t="shared" si="9"/>
        <v>1</v>
      </c>
      <c r="AF38" t="b">
        <f t="shared" si="10"/>
        <v>0</v>
      </c>
      <c r="AG38" t="b">
        <f t="shared" si="11"/>
        <v>0</v>
      </c>
      <c r="AH38" t="b">
        <f t="shared" si="12"/>
        <v>0</v>
      </c>
    </row>
    <row r="39" spans="1:34" x14ac:dyDescent="0.2">
      <c r="A39" t="s">
        <v>88</v>
      </c>
      <c r="B39" t="s">
        <v>84</v>
      </c>
      <c r="C39" t="s">
        <v>44</v>
      </c>
      <c r="D39">
        <v>0</v>
      </c>
      <c r="E39">
        <v>2</v>
      </c>
      <c r="F39">
        <v>1</v>
      </c>
      <c r="G39">
        <v>2</v>
      </c>
      <c r="H39">
        <v>0</v>
      </c>
      <c r="I39">
        <v>0</v>
      </c>
      <c r="J39">
        <v>0</v>
      </c>
      <c r="K39">
        <v>0</v>
      </c>
      <c r="L39">
        <v>1</v>
      </c>
      <c r="M39">
        <v>2</v>
      </c>
      <c r="O39">
        <v>0</v>
      </c>
      <c r="P39">
        <v>0</v>
      </c>
      <c r="Q39">
        <v>3</v>
      </c>
      <c r="R39">
        <v>2</v>
      </c>
      <c r="S39">
        <v>7</v>
      </c>
      <c r="T39">
        <v>1</v>
      </c>
      <c r="V39" t="b">
        <f t="shared" si="0"/>
        <v>1</v>
      </c>
      <c r="W39" t="b">
        <f t="shared" si="1"/>
        <v>1</v>
      </c>
      <c r="X39" t="b">
        <f t="shared" si="2"/>
        <v>1</v>
      </c>
      <c r="Y39" t="b">
        <f t="shared" si="3"/>
        <v>0</v>
      </c>
      <c r="Z39" t="b">
        <f t="shared" si="4"/>
        <v>0</v>
      </c>
      <c r="AA39" t="b">
        <f t="shared" si="5"/>
        <v>0</v>
      </c>
      <c r="AB39" t="b">
        <f t="shared" si="6"/>
        <v>0</v>
      </c>
      <c r="AC39" t="b">
        <f t="shared" si="7"/>
        <v>0</v>
      </c>
      <c r="AD39" t="b">
        <f t="shared" si="8"/>
        <v>0</v>
      </c>
      <c r="AE39" t="b">
        <f t="shared" si="9"/>
        <v>0</v>
      </c>
      <c r="AF39" t="b">
        <f t="shared" si="10"/>
        <v>0</v>
      </c>
      <c r="AG39" t="b">
        <f t="shared" si="11"/>
        <v>0</v>
      </c>
      <c r="AH39" t="b">
        <f t="shared" si="12"/>
        <v>0</v>
      </c>
    </row>
    <row r="40" spans="1:34" x14ac:dyDescent="0.2">
      <c r="A40" t="s">
        <v>89</v>
      </c>
      <c r="B40" t="s">
        <v>84</v>
      </c>
      <c r="C40" t="s">
        <v>44</v>
      </c>
      <c r="D40">
        <v>0</v>
      </c>
      <c r="E40">
        <v>1</v>
      </c>
      <c r="F40">
        <v>1</v>
      </c>
      <c r="G40">
        <v>2</v>
      </c>
      <c r="H40">
        <v>1</v>
      </c>
      <c r="I40">
        <v>0</v>
      </c>
      <c r="J40">
        <v>1</v>
      </c>
      <c r="K40">
        <v>0</v>
      </c>
      <c r="L40">
        <v>1</v>
      </c>
      <c r="M40">
        <v>1</v>
      </c>
      <c r="N40">
        <v>1</v>
      </c>
      <c r="O40">
        <v>2</v>
      </c>
      <c r="P40">
        <v>1</v>
      </c>
      <c r="Q40">
        <v>2</v>
      </c>
      <c r="R40">
        <v>8</v>
      </c>
      <c r="S40">
        <v>3</v>
      </c>
      <c r="T40">
        <v>0</v>
      </c>
      <c r="V40" t="b">
        <f t="shared" si="0"/>
        <v>1</v>
      </c>
      <c r="W40" t="b">
        <f t="shared" si="1"/>
        <v>1</v>
      </c>
      <c r="X40" t="b">
        <f t="shared" si="2"/>
        <v>0</v>
      </c>
      <c r="Y40" t="b">
        <f t="shared" si="3"/>
        <v>0</v>
      </c>
      <c r="Z40" t="b">
        <f t="shared" si="4"/>
        <v>0</v>
      </c>
      <c r="AA40" t="b">
        <f t="shared" si="5"/>
        <v>0</v>
      </c>
      <c r="AB40" t="b">
        <f t="shared" si="6"/>
        <v>0</v>
      </c>
      <c r="AC40" t="b">
        <f t="shared" si="7"/>
        <v>0</v>
      </c>
      <c r="AD40" t="b">
        <f t="shared" si="8"/>
        <v>0</v>
      </c>
      <c r="AE40" t="b">
        <f t="shared" si="9"/>
        <v>0</v>
      </c>
      <c r="AF40" t="b">
        <f t="shared" si="10"/>
        <v>0</v>
      </c>
      <c r="AG40" t="b">
        <f t="shared" si="11"/>
        <v>0</v>
      </c>
      <c r="AH40" t="b">
        <f t="shared" si="12"/>
        <v>0</v>
      </c>
    </row>
    <row r="41" spans="1:34" x14ac:dyDescent="0.2">
      <c r="A41" t="s">
        <v>90</v>
      </c>
      <c r="B41" t="s">
        <v>84</v>
      </c>
      <c r="C41" t="s">
        <v>44</v>
      </c>
      <c r="D41">
        <v>0</v>
      </c>
      <c r="E41">
        <v>2</v>
      </c>
      <c r="F41">
        <v>1</v>
      </c>
      <c r="G41">
        <v>2</v>
      </c>
      <c r="H41">
        <v>2</v>
      </c>
      <c r="I41">
        <v>0</v>
      </c>
      <c r="J41">
        <v>1</v>
      </c>
      <c r="K41">
        <v>1</v>
      </c>
      <c r="L41">
        <v>2</v>
      </c>
      <c r="M41">
        <v>1</v>
      </c>
      <c r="O41">
        <v>2</v>
      </c>
      <c r="P41">
        <v>0</v>
      </c>
      <c r="Q41">
        <v>5</v>
      </c>
      <c r="R41">
        <v>4</v>
      </c>
      <c r="S41">
        <v>3</v>
      </c>
      <c r="T41">
        <v>1</v>
      </c>
      <c r="V41" t="b">
        <f t="shared" si="0"/>
        <v>1</v>
      </c>
      <c r="W41" t="b">
        <f t="shared" si="1"/>
        <v>1</v>
      </c>
      <c r="X41" t="b">
        <f t="shared" si="2"/>
        <v>1</v>
      </c>
      <c r="Y41" t="b">
        <f t="shared" si="3"/>
        <v>1</v>
      </c>
      <c r="Z41" t="b">
        <f t="shared" si="4"/>
        <v>1</v>
      </c>
      <c r="AA41" t="b">
        <f t="shared" si="5"/>
        <v>0</v>
      </c>
      <c r="AB41" t="b">
        <f t="shared" si="6"/>
        <v>0</v>
      </c>
      <c r="AC41" t="b">
        <f t="shared" si="7"/>
        <v>0</v>
      </c>
      <c r="AD41" t="b">
        <f t="shared" si="8"/>
        <v>0</v>
      </c>
      <c r="AE41" t="b">
        <f t="shared" si="9"/>
        <v>0</v>
      </c>
      <c r="AF41" t="b">
        <f t="shared" si="10"/>
        <v>0</v>
      </c>
      <c r="AG41" t="b">
        <f t="shared" si="11"/>
        <v>0</v>
      </c>
      <c r="AH41" t="b">
        <f t="shared" si="12"/>
        <v>0</v>
      </c>
    </row>
    <row r="42" spans="1:34" x14ac:dyDescent="0.2">
      <c r="A42" t="s">
        <v>91</v>
      </c>
      <c r="B42" t="s">
        <v>92</v>
      </c>
      <c r="C42" t="s">
        <v>92</v>
      </c>
      <c r="D42">
        <v>1</v>
      </c>
      <c r="E42">
        <v>0</v>
      </c>
      <c r="F42">
        <v>2</v>
      </c>
      <c r="G42">
        <v>2</v>
      </c>
      <c r="H42">
        <v>2</v>
      </c>
      <c r="I42">
        <v>0</v>
      </c>
      <c r="J42">
        <v>1</v>
      </c>
      <c r="K42">
        <v>2</v>
      </c>
      <c r="L42">
        <v>1</v>
      </c>
      <c r="M42">
        <v>2</v>
      </c>
      <c r="N42">
        <v>2</v>
      </c>
      <c r="O42">
        <v>0</v>
      </c>
      <c r="P42">
        <v>1</v>
      </c>
      <c r="Q42">
        <v>6</v>
      </c>
      <c r="R42">
        <v>4</v>
      </c>
      <c r="S42">
        <v>3</v>
      </c>
      <c r="T42">
        <v>0</v>
      </c>
      <c r="V42" t="b">
        <f t="shared" si="0"/>
        <v>1</v>
      </c>
      <c r="W42" t="b">
        <f t="shared" si="1"/>
        <v>1</v>
      </c>
      <c r="X42" t="b">
        <f t="shared" si="2"/>
        <v>1</v>
      </c>
      <c r="Y42" t="b">
        <f t="shared" si="3"/>
        <v>1</v>
      </c>
      <c r="Z42" t="b">
        <f t="shared" si="4"/>
        <v>1</v>
      </c>
      <c r="AA42" t="b">
        <f t="shared" si="5"/>
        <v>1</v>
      </c>
      <c r="AB42" t="b">
        <f t="shared" si="6"/>
        <v>0</v>
      </c>
      <c r="AC42" t="b">
        <f t="shared" si="7"/>
        <v>0</v>
      </c>
      <c r="AD42" t="b">
        <f t="shared" si="8"/>
        <v>0</v>
      </c>
      <c r="AE42" t="b">
        <f t="shared" si="9"/>
        <v>0</v>
      </c>
      <c r="AF42" t="b">
        <f t="shared" si="10"/>
        <v>0</v>
      </c>
      <c r="AG42" t="b">
        <f t="shared" si="11"/>
        <v>0</v>
      </c>
      <c r="AH42" t="b">
        <f t="shared" si="12"/>
        <v>0</v>
      </c>
    </row>
    <row r="43" spans="1:34" x14ac:dyDescent="0.2">
      <c r="A43" t="s">
        <v>93</v>
      </c>
      <c r="B43" t="s">
        <v>92</v>
      </c>
      <c r="C43" t="s">
        <v>92</v>
      </c>
      <c r="D43">
        <v>0</v>
      </c>
      <c r="E43">
        <v>0</v>
      </c>
      <c r="F43">
        <v>1</v>
      </c>
      <c r="G43">
        <v>2</v>
      </c>
      <c r="H43">
        <v>1</v>
      </c>
      <c r="I43">
        <v>0</v>
      </c>
      <c r="J43">
        <v>2</v>
      </c>
      <c r="K43">
        <v>0</v>
      </c>
      <c r="M43">
        <v>2</v>
      </c>
      <c r="N43">
        <v>2</v>
      </c>
      <c r="O43">
        <v>0</v>
      </c>
      <c r="P43">
        <v>0</v>
      </c>
      <c r="Q43">
        <v>4</v>
      </c>
      <c r="R43">
        <v>2</v>
      </c>
      <c r="S43">
        <v>6</v>
      </c>
      <c r="T43">
        <v>1</v>
      </c>
      <c r="V43" t="b">
        <f t="shared" si="0"/>
        <v>1</v>
      </c>
      <c r="W43" t="b">
        <f t="shared" si="1"/>
        <v>1</v>
      </c>
      <c r="X43" t="b">
        <f t="shared" si="2"/>
        <v>1</v>
      </c>
      <c r="Y43" t="b">
        <f t="shared" si="3"/>
        <v>1</v>
      </c>
      <c r="Z43" t="b">
        <f t="shared" si="4"/>
        <v>0</v>
      </c>
      <c r="AA43" t="b">
        <f t="shared" si="5"/>
        <v>0</v>
      </c>
      <c r="AB43" t="b">
        <f t="shared" si="6"/>
        <v>0</v>
      </c>
      <c r="AC43" t="b">
        <f t="shared" si="7"/>
        <v>0</v>
      </c>
      <c r="AD43" t="b">
        <f t="shared" si="8"/>
        <v>0</v>
      </c>
      <c r="AE43" t="b">
        <f t="shared" si="9"/>
        <v>0</v>
      </c>
      <c r="AF43" t="b">
        <f t="shared" si="10"/>
        <v>0</v>
      </c>
      <c r="AG43" t="b">
        <f t="shared" si="11"/>
        <v>0</v>
      </c>
      <c r="AH43" t="b">
        <f t="shared" si="12"/>
        <v>0</v>
      </c>
    </row>
    <row r="44" spans="1:34" x14ac:dyDescent="0.2">
      <c r="A44" t="s">
        <v>94</v>
      </c>
      <c r="B44" t="s">
        <v>95</v>
      </c>
      <c r="C44" t="s">
        <v>96</v>
      </c>
      <c r="D44">
        <v>1</v>
      </c>
      <c r="E44">
        <v>1</v>
      </c>
      <c r="F44">
        <v>2</v>
      </c>
      <c r="G44">
        <v>2</v>
      </c>
      <c r="H44">
        <v>0</v>
      </c>
      <c r="I44">
        <v>1</v>
      </c>
      <c r="J44">
        <v>2</v>
      </c>
      <c r="K44">
        <v>0</v>
      </c>
      <c r="L44">
        <v>1</v>
      </c>
      <c r="M44">
        <v>2</v>
      </c>
      <c r="N44">
        <v>1</v>
      </c>
      <c r="O44">
        <v>2</v>
      </c>
      <c r="P44">
        <v>0</v>
      </c>
      <c r="Q44">
        <v>5</v>
      </c>
      <c r="R44">
        <v>5</v>
      </c>
      <c r="S44">
        <v>3</v>
      </c>
      <c r="T44">
        <v>0</v>
      </c>
      <c r="V44" t="b">
        <f t="shared" si="0"/>
        <v>1</v>
      </c>
      <c r="W44" t="b">
        <f t="shared" si="1"/>
        <v>1</v>
      </c>
      <c r="X44" t="b">
        <f t="shared" si="2"/>
        <v>1</v>
      </c>
      <c r="Y44" t="b">
        <f t="shared" si="3"/>
        <v>1</v>
      </c>
      <c r="Z44" t="b">
        <f t="shared" si="4"/>
        <v>1</v>
      </c>
      <c r="AA44" t="b">
        <f t="shared" si="5"/>
        <v>0</v>
      </c>
      <c r="AB44" t="b">
        <f t="shared" si="6"/>
        <v>0</v>
      </c>
      <c r="AC44" t="b">
        <f t="shared" si="7"/>
        <v>0</v>
      </c>
      <c r="AD44" t="b">
        <f t="shared" si="8"/>
        <v>0</v>
      </c>
      <c r="AE44" t="b">
        <f t="shared" si="9"/>
        <v>0</v>
      </c>
      <c r="AF44" t="b">
        <f t="shared" si="10"/>
        <v>0</v>
      </c>
      <c r="AG44" t="b">
        <f t="shared" si="11"/>
        <v>0</v>
      </c>
      <c r="AH44" t="b">
        <f t="shared" si="12"/>
        <v>0</v>
      </c>
    </row>
    <row r="45" spans="1:34" x14ac:dyDescent="0.2">
      <c r="A45" t="s">
        <v>97</v>
      </c>
      <c r="B45" t="s">
        <v>98</v>
      </c>
      <c r="C45" t="s">
        <v>98</v>
      </c>
      <c r="D45">
        <v>1</v>
      </c>
      <c r="E45">
        <v>2</v>
      </c>
      <c r="F45">
        <v>2</v>
      </c>
      <c r="G45">
        <v>2</v>
      </c>
      <c r="H45">
        <v>2</v>
      </c>
      <c r="I45">
        <v>1</v>
      </c>
      <c r="J45">
        <v>2</v>
      </c>
      <c r="K45">
        <v>2</v>
      </c>
      <c r="M45">
        <v>0</v>
      </c>
      <c r="N45">
        <v>1</v>
      </c>
      <c r="O45">
        <v>2</v>
      </c>
      <c r="P45">
        <v>2</v>
      </c>
      <c r="Q45">
        <v>8</v>
      </c>
      <c r="R45">
        <v>3</v>
      </c>
      <c r="S45">
        <v>1</v>
      </c>
      <c r="T45">
        <v>1</v>
      </c>
      <c r="V45" t="b">
        <f t="shared" si="0"/>
        <v>1</v>
      </c>
      <c r="W45" t="b">
        <f t="shared" si="1"/>
        <v>1</v>
      </c>
      <c r="X45" t="b">
        <f t="shared" si="2"/>
        <v>1</v>
      </c>
      <c r="Y45" t="b">
        <f t="shared" si="3"/>
        <v>1</v>
      </c>
      <c r="Z45" t="b">
        <f t="shared" si="4"/>
        <v>1</v>
      </c>
      <c r="AA45" t="b">
        <f t="shared" si="5"/>
        <v>1</v>
      </c>
      <c r="AB45" t="b">
        <f t="shared" si="6"/>
        <v>1</v>
      </c>
      <c r="AC45" t="b">
        <f t="shared" si="7"/>
        <v>1</v>
      </c>
      <c r="AD45" t="b">
        <f t="shared" si="8"/>
        <v>0</v>
      </c>
      <c r="AE45" t="b">
        <f t="shared" si="9"/>
        <v>0</v>
      </c>
      <c r="AF45" t="b">
        <f t="shared" si="10"/>
        <v>0</v>
      </c>
      <c r="AG45" t="b">
        <f t="shared" si="11"/>
        <v>0</v>
      </c>
      <c r="AH45" t="b">
        <f t="shared" si="12"/>
        <v>0</v>
      </c>
    </row>
    <row r="46" spans="1:34" x14ac:dyDescent="0.2">
      <c r="A46" t="s">
        <v>99</v>
      </c>
      <c r="B46" t="s">
        <v>98</v>
      </c>
      <c r="C46" t="s">
        <v>98</v>
      </c>
      <c r="D46">
        <v>2</v>
      </c>
      <c r="E46">
        <v>0</v>
      </c>
      <c r="F46">
        <v>2</v>
      </c>
      <c r="G46">
        <v>2</v>
      </c>
      <c r="H46">
        <v>2</v>
      </c>
      <c r="I46">
        <v>1</v>
      </c>
      <c r="J46">
        <v>2</v>
      </c>
      <c r="K46">
        <v>2</v>
      </c>
      <c r="L46">
        <v>1</v>
      </c>
      <c r="M46">
        <v>2</v>
      </c>
      <c r="N46">
        <v>1</v>
      </c>
      <c r="O46">
        <v>2</v>
      </c>
      <c r="P46">
        <v>1</v>
      </c>
      <c r="Q46">
        <v>8</v>
      </c>
      <c r="R46">
        <v>4</v>
      </c>
      <c r="S46">
        <v>1</v>
      </c>
      <c r="T46">
        <v>0</v>
      </c>
      <c r="V46" t="b">
        <f t="shared" si="0"/>
        <v>1</v>
      </c>
      <c r="W46" t="b">
        <f t="shared" si="1"/>
        <v>1</v>
      </c>
      <c r="X46" t="b">
        <f t="shared" si="2"/>
        <v>1</v>
      </c>
      <c r="Y46" t="b">
        <f t="shared" si="3"/>
        <v>1</v>
      </c>
      <c r="Z46" t="b">
        <f t="shared" si="4"/>
        <v>1</v>
      </c>
      <c r="AA46" t="b">
        <f t="shared" si="5"/>
        <v>1</v>
      </c>
      <c r="AB46" t="b">
        <f t="shared" si="6"/>
        <v>1</v>
      </c>
      <c r="AC46" t="b">
        <f t="shared" si="7"/>
        <v>1</v>
      </c>
      <c r="AD46" t="b">
        <f t="shared" si="8"/>
        <v>0</v>
      </c>
      <c r="AE46" t="b">
        <f t="shared" si="9"/>
        <v>0</v>
      </c>
      <c r="AF46" t="b">
        <f t="shared" si="10"/>
        <v>0</v>
      </c>
      <c r="AG46" t="b">
        <f t="shared" si="11"/>
        <v>0</v>
      </c>
      <c r="AH46" t="b">
        <f t="shared" si="12"/>
        <v>0</v>
      </c>
    </row>
    <row r="47" spans="1:34" x14ac:dyDescent="0.2">
      <c r="V47">
        <f>COUNTIF(V2:V46,TRUE)</f>
        <v>44</v>
      </c>
      <c r="W47">
        <f t="shared" ref="W47:AC47" si="13">COUNTIF(W2:W46,TRUE)</f>
        <v>36</v>
      </c>
      <c r="X47">
        <f t="shared" si="13"/>
        <v>32</v>
      </c>
      <c r="Y47">
        <f t="shared" si="13"/>
        <v>28</v>
      </c>
      <c r="Z47">
        <f t="shared" si="13"/>
        <v>23</v>
      </c>
      <c r="AA47">
        <f t="shared" si="13"/>
        <v>17</v>
      </c>
      <c r="AB47">
        <f t="shared" si="13"/>
        <v>14</v>
      </c>
      <c r="AC47">
        <f t="shared" si="13"/>
        <v>14</v>
      </c>
      <c r="AD47">
        <f t="shared" ref="AD47" si="14">COUNTIF(AD2:AD46,TRUE)</f>
        <v>12</v>
      </c>
      <c r="AE47">
        <f t="shared" ref="AE47" si="15">COUNTIF(AE2:AE46,TRUE)</f>
        <v>6</v>
      </c>
      <c r="AF47">
        <f t="shared" ref="AF47" si="16">COUNTIF(AF2:AF46,TRUE)</f>
        <v>1</v>
      </c>
      <c r="AG47">
        <f t="shared" ref="AG47" si="17">COUNTIF(AG2:AG46,TRUE)</f>
        <v>0</v>
      </c>
      <c r="AH47">
        <f t="shared" ref="AH47" si="18">COUNTIF(AH2:AH46,TRUE)</f>
        <v>0</v>
      </c>
    </row>
    <row r="48" spans="1:34" x14ac:dyDescent="0.2">
      <c r="V48" s="7">
        <f>V47/45</f>
        <v>0.97777777777777775</v>
      </c>
      <c r="W48" s="7">
        <f t="shared" ref="W48:AC48" si="19">W47/45</f>
        <v>0.8</v>
      </c>
      <c r="X48" s="7">
        <f t="shared" si="19"/>
        <v>0.71111111111111114</v>
      </c>
      <c r="Y48" s="7">
        <f t="shared" si="19"/>
        <v>0.62222222222222223</v>
      </c>
      <c r="Z48" s="7">
        <f t="shared" si="19"/>
        <v>0.51111111111111107</v>
      </c>
      <c r="AA48" s="7">
        <f t="shared" si="19"/>
        <v>0.37777777777777777</v>
      </c>
      <c r="AB48" s="7">
        <f t="shared" si="19"/>
        <v>0.31111111111111112</v>
      </c>
      <c r="AC48" s="7">
        <f t="shared" si="19"/>
        <v>0.31111111111111112</v>
      </c>
      <c r="AD48" s="7">
        <f t="shared" ref="AD48" si="20">AD47/45</f>
        <v>0.26666666666666666</v>
      </c>
      <c r="AE48" s="7">
        <f t="shared" ref="AE48" si="21">AE47/45</f>
        <v>0.13333333333333333</v>
      </c>
      <c r="AF48" s="7">
        <f t="shared" ref="AF48" si="22">AF47/45</f>
        <v>2.2222222222222223E-2</v>
      </c>
      <c r="AG48" s="7">
        <f t="shared" ref="AG48" si="23">AG47/45</f>
        <v>0</v>
      </c>
      <c r="AH48" s="7">
        <f t="shared" ref="AH48" si="24">AH47/45</f>
        <v>0</v>
      </c>
    </row>
  </sheetData>
  <phoneticPr fontId="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 results</vt:lpstr>
      <vt:lpstr>accuracy</vt:lpstr>
      <vt:lpstr>dbpedia-ada-ct0.6</vt:lpstr>
      <vt:lpstr>dbpedia-svm-ct6</vt:lpstr>
      <vt:lpstr>acm-ada-ct0.6</vt:lpstr>
      <vt:lpstr>acm-svm-ct6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Dong</dc:creator>
  <cp:lastModifiedBy>Hang Dong</cp:lastModifiedBy>
  <dcterms:created xsi:type="dcterms:W3CDTF">2017-12-25T02:04:00Z</dcterms:created>
  <dcterms:modified xsi:type="dcterms:W3CDTF">2019-05-04T00:55:09Z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